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saina\Downloads\"/>
    </mc:Choice>
  </mc:AlternateContent>
  <xr:revisionPtr revIDLastSave="0" documentId="13_ncr:1_{6FB639E6-E6E4-4F0C-AC41-D93369FCC46E}" xr6:coauthVersionLast="47" xr6:coauthVersionMax="47" xr10:uidLastSave="{00000000-0000-0000-0000-000000000000}"/>
  <bookViews>
    <workbookView xWindow="-110" yWindow="-110" windowWidth="19420" windowHeight="10300" xr2:uid="{7E2A178F-C4CC-4569-8B5C-613ED070C6A6}"/>
  </bookViews>
  <sheets>
    <sheet name="GDP_Analysis_Dashboard" sheetId="5" r:id="rId1"/>
    <sheet name="Pivot_Tables" sheetId="6" r:id="rId2"/>
    <sheet name="Country Wise GDP" sheetId="2" r:id="rId3"/>
  </sheets>
  <definedNames>
    <definedName name="County_GDP">Country_GDP[]</definedName>
    <definedName name="ExternalData_1" localSheetId="2" hidden="1">'Country Wise GDP'!$B$1:$C$192</definedName>
    <definedName name="GDP_USD">Country_GDP[GDP_USD]</definedName>
    <definedName name="Slicer_Country">#N/A</definedName>
    <definedName name="Slicer_GDP_BAN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2" l="1"/>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Y7" i="6"/>
  <c r="Y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0569E2-68FD-4E88-A51F-34EEE98F860C}" keepAlive="1" interval="60" name="Query - GDP forecast or estimate (million US$) by country" description="Connection to the 'GDP forecast or estimate (million US$) by country' query in the workbook." type="5" refreshedVersion="8" background="1" saveData="1">
    <dbPr connection="Provider=Microsoft.Mashup.OleDb.1;Data Source=$Workbook$;Location=&quot;GDP forecast or estimate (million US$) by country&quot;;Extended Properties=&quot;&quot;" command="SELECT * FROM [GDP forecast or estimate (million US$) by country]"/>
  </connection>
</connections>
</file>

<file path=xl/sharedStrings.xml><?xml version="1.0" encoding="utf-8"?>
<sst xmlns="http://schemas.openxmlformats.org/spreadsheetml/2006/main" count="433" uniqueCount="217">
  <si>
    <t>United States</t>
  </si>
  <si>
    <t>Germany</t>
  </si>
  <si>
    <t>India</t>
  </si>
  <si>
    <t>Japan</t>
  </si>
  <si>
    <t>United Kingdom</t>
  </si>
  <si>
    <t>France</t>
  </si>
  <si>
    <t>Italy</t>
  </si>
  <si>
    <t>Russia</t>
  </si>
  <si>
    <t>Canada</t>
  </si>
  <si>
    <t>Brazil</t>
  </si>
  <si>
    <t>Spain</t>
  </si>
  <si>
    <t>Mexico</t>
  </si>
  <si>
    <t>Australia</t>
  </si>
  <si>
    <t>South Korea</t>
  </si>
  <si>
    <t>Turkey</t>
  </si>
  <si>
    <t>Indonesia</t>
  </si>
  <si>
    <t>Netherlands</t>
  </si>
  <si>
    <t>Saudi Arabia</t>
  </si>
  <si>
    <t>Poland</t>
  </si>
  <si>
    <t>Switzerland</t>
  </si>
  <si>
    <t>Belgium</t>
  </si>
  <si>
    <t>Ireland</t>
  </si>
  <si>
    <t>Sweden</t>
  </si>
  <si>
    <t>Argentina</t>
  </si>
  <si>
    <t>Israel</t>
  </si>
  <si>
    <t>Singapore</t>
  </si>
  <si>
    <t>Austria</t>
  </si>
  <si>
    <t>United Arab Emirates</t>
  </si>
  <si>
    <t>Thailand</t>
  </si>
  <si>
    <t>Norway</t>
  </si>
  <si>
    <t>Philippines</t>
  </si>
  <si>
    <t>Bangladesh</t>
  </si>
  <si>
    <t>Vietnam</t>
  </si>
  <si>
    <t>Malaysia</t>
  </si>
  <si>
    <t>Denmark</t>
  </si>
  <si>
    <t>Colombia</t>
  </si>
  <si>
    <t>Romania</t>
  </si>
  <si>
    <t>South Africa</t>
  </si>
  <si>
    <t>Czech Republic</t>
  </si>
  <si>
    <t>Pakistan</t>
  </si>
  <si>
    <t>Egypt</t>
  </si>
  <si>
    <t>Iran</t>
  </si>
  <si>
    <t>Portugal</t>
  </si>
  <si>
    <t>Chile</t>
  </si>
  <si>
    <t>Finland</t>
  </si>
  <si>
    <t>Nigeria</t>
  </si>
  <si>
    <t>Peru</t>
  </si>
  <si>
    <t>Kazakhstan</t>
  </si>
  <si>
    <t>Greece</t>
  </si>
  <si>
    <t>Algeria</t>
  </si>
  <si>
    <t>New Zealand</t>
  </si>
  <si>
    <t>Iraq</t>
  </si>
  <si>
    <t>Hungary</t>
  </si>
  <si>
    <t>Qatar</t>
  </si>
  <si>
    <t>Morocco</t>
  </si>
  <si>
    <t>Slovakia</t>
  </si>
  <si>
    <t>Kuwait</t>
  </si>
  <si>
    <t>Uzbekistan</t>
  </si>
  <si>
    <t>Bulgaria</t>
  </si>
  <si>
    <t>Kenya</t>
  </si>
  <si>
    <t>Dominican Republic</t>
  </si>
  <si>
    <t>Ecuador</t>
  </si>
  <si>
    <t>Guatemala</t>
  </si>
  <si>
    <t>Puerto Rico</t>
  </si>
  <si>
    <t>Ethiopia</t>
  </si>
  <si>
    <t>Ghana</t>
  </si>
  <si>
    <t>Croatia</t>
  </si>
  <si>
    <t>Serbia</t>
  </si>
  <si>
    <t>Ivory Coast</t>
  </si>
  <si>
    <t>Angola</t>
  </si>
  <si>
    <t>Costa Rica</t>
  </si>
  <si>
    <t>Oman</t>
  </si>
  <si>
    <t>Luxembourg</t>
  </si>
  <si>
    <t>Lithuania</t>
  </si>
  <si>
    <t>Panama</t>
  </si>
  <si>
    <t>Uruguay</t>
  </si>
  <si>
    <t>Belarus</t>
  </si>
  <si>
    <t>DR Congo</t>
  </si>
  <si>
    <t>Slovenia</t>
  </si>
  <si>
    <t>Azerbaijan</t>
  </si>
  <si>
    <t>Venezuela</t>
  </si>
  <si>
    <t>Turkmenistan</t>
  </si>
  <si>
    <t>Uganda</t>
  </si>
  <si>
    <t>Cameroon</t>
  </si>
  <si>
    <t>Myanmar</t>
  </si>
  <si>
    <t>Tunisia</t>
  </si>
  <si>
    <t>Jordan</t>
  </si>
  <si>
    <t>Bolivia</t>
  </si>
  <si>
    <t>Zimbabwe</t>
  </si>
  <si>
    <t>Latvia</t>
  </si>
  <si>
    <t>Paraguay</t>
  </si>
  <si>
    <t>Cambodia</t>
  </si>
  <si>
    <t>Estonia</t>
  </si>
  <si>
    <t>Bahrain</t>
  </si>
  <si>
    <t>Libya</t>
  </si>
  <si>
    <t>Nepal</t>
  </si>
  <si>
    <t>Iceland</t>
  </si>
  <si>
    <t>Honduras</t>
  </si>
  <si>
    <t>Senegal</t>
  </si>
  <si>
    <t>Sudan</t>
  </si>
  <si>
    <t>El Salvador</t>
  </si>
  <si>
    <t>Bosnia and Herzegovina</t>
  </si>
  <si>
    <t>Zambia</t>
  </si>
  <si>
    <t>Papua New Guinea</t>
  </si>
  <si>
    <t>Albania</t>
  </si>
  <si>
    <t>Haiti</t>
  </si>
  <si>
    <t>Guinea</t>
  </si>
  <si>
    <t>Burkina Faso</t>
  </si>
  <si>
    <t>Malta</t>
  </si>
  <si>
    <t>Armenia</t>
  </si>
  <si>
    <t>Mali</t>
  </si>
  <si>
    <t>Guyana</t>
  </si>
  <si>
    <t>Benin</t>
  </si>
  <si>
    <t>Trinidad and Tobago</t>
  </si>
  <si>
    <t>Mongolia</t>
  </si>
  <si>
    <t>Mozambique</t>
  </si>
  <si>
    <t>Niger</t>
  </si>
  <si>
    <t>Jamaica</t>
  </si>
  <si>
    <t>Chad</t>
  </si>
  <si>
    <t>Gabon</t>
  </si>
  <si>
    <t>Nicaragua</t>
  </si>
  <si>
    <t>Kyrgyzstan</t>
  </si>
  <si>
    <t>Madagascar</t>
  </si>
  <si>
    <t>North Macedonia</t>
  </si>
  <si>
    <t>Botswana</t>
  </si>
  <si>
    <t>Tajikistan</t>
  </si>
  <si>
    <t>Malawi</t>
  </si>
  <si>
    <t>Laos</t>
  </si>
  <si>
    <t>Yemen</t>
  </si>
  <si>
    <t>Congo</t>
  </si>
  <si>
    <t>Bahamas</t>
  </si>
  <si>
    <t>Mauritius</t>
  </si>
  <si>
    <t>Brunei</t>
  </si>
  <si>
    <t>Namibia</t>
  </si>
  <si>
    <t>Rwanda</t>
  </si>
  <si>
    <t>Equatorial Guinea</t>
  </si>
  <si>
    <t>Kosovo</t>
  </si>
  <si>
    <t>Somalia</t>
  </si>
  <si>
    <t>Mauritania</t>
  </si>
  <si>
    <t>Togo</t>
  </si>
  <si>
    <t>Montenegro</t>
  </si>
  <si>
    <t>Liechtenstein</t>
  </si>
  <si>
    <t>Sierra Leone</t>
  </si>
  <si>
    <t>Burundi</t>
  </si>
  <si>
    <t>Maldives</t>
  </si>
  <si>
    <t>Barbados</t>
  </si>
  <si>
    <t>Fiji</t>
  </si>
  <si>
    <t>South Sudan</t>
  </si>
  <si>
    <t>Liberia</t>
  </si>
  <si>
    <t>Eswatini</t>
  </si>
  <si>
    <t>Djibouti</t>
  </si>
  <si>
    <t>Suriname</t>
  </si>
  <si>
    <t>Andorra</t>
  </si>
  <si>
    <t>Aruba</t>
  </si>
  <si>
    <t>Bhutan</t>
  </si>
  <si>
    <t>Central African Republic</t>
  </si>
  <si>
    <t>Belize</t>
  </si>
  <si>
    <t>Cape Verde</t>
  </si>
  <si>
    <t>Saint Lucia</t>
  </si>
  <si>
    <t>Guinea-Bissau</t>
  </si>
  <si>
    <t>Gambia</t>
  </si>
  <si>
    <t>Lesotho</t>
  </si>
  <si>
    <t>Antigua and Barbuda</t>
  </si>
  <si>
    <t>San Marino</t>
  </si>
  <si>
    <t>Seychelles</t>
  </si>
  <si>
    <t>Timor-Leste</t>
  </si>
  <si>
    <t>Solomon Islands</t>
  </si>
  <si>
    <t>Comoros</t>
  </si>
  <si>
    <t>Grenada</t>
  </si>
  <si>
    <t>Samoa</t>
  </si>
  <si>
    <t>Saint Vincent and the Grenadines</t>
  </si>
  <si>
    <t>Saint Kitts and Nevis</t>
  </si>
  <si>
    <t>Vanuatu</t>
  </si>
  <si>
    <t>São Tomé and Príncipe</t>
  </si>
  <si>
    <t>Dominica</t>
  </si>
  <si>
    <t>Tonga</t>
  </si>
  <si>
    <t>Micronesia</t>
  </si>
  <si>
    <t>Palau</t>
  </si>
  <si>
    <t>Kiribati</t>
  </si>
  <si>
    <t>Marshall Islands</t>
  </si>
  <si>
    <t>Nauru</t>
  </si>
  <si>
    <t>Tuvalu</t>
  </si>
  <si>
    <t>Country</t>
  </si>
  <si>
    <t>GDP_USD</t>
  </si>
  <si>
    <t xml:space="preserve">China </t>
  </si>
  <si>
    <t>Rank</t>
  </si>
  <si>
    <t>GDP_Share%</t>
  </si>
  <si>
    <t>GDP_BAND</t>
  </si>
  <si>
    <t>Relative_To_Leader%</t>
  </si>
  <si>
    <t>Row Labels</t>
  </si>
  <si>
    <t>Grand Total</t>
  </si>
  <si>
    <t>Sum of GDP_USD</t>
  </si>
  <si>
    <t>T1</t>
  </si>
  <si>
    <t>T2</t>
  </si>
  <si>
    <t>T3</t>
  </si>
  <si>
    <t>T4</t>
  </si>
  <si>
    <t>Sum of Relative_To_Leader%</t>
  </si>
  <si>
    <t>Dominance_Ratio%</t>
  </si>
  <si>
    <t>Sum of Dominance_Ratio%</t>
  </si>
  <si>
    <t>Sum of GDP_Share%</t>
  </si>
  <si>
    <t xml:space="preserve">China  </t>
  </si>
  <si>
    <t xml:space="preserve">Taiwan  </t>
  </si>
  <si>
    <t xml:space="preserve">Hong Kong  </t>
  </si>
  <si>
    <t xml:space="preserve">Ukraine  </t>
  </si>
  <si>
    <t xml:space="preserve">Tanzania  </t>
  </si>
  <si>
    <t xml:space="preserve">Macau  </t>
  </si>
  <si>
    <t xml:space="preserve">Cyprus  </t>
  </si>
  <si>
    <t xml:space="preserve">Georgia  </t>
  </si>
  <si>
    <t xml:space="preserve">Moldova   </t>
  </si>
  <si>
    <t>Taiwan</t>
  </si>
  <si>
    <t xml:space="preserve">Hong Kong </t>
  </si>
  <si>
    <t xml:space="preserve">Tanzania </t>
  </si>
  <si>
    <t xml:space="preserve">Ukraine </t>
  </si>
  <si>
    <t xml:space="preserve">Macau </t>
  </si>
  <si>
    <t>Cyprus</t>
  </si>
  <si>
    <t xml:space="preserve">Georgia </t>
  </si>
  <si>
    <t xml:space="preserve">Moldova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</si>
</sst>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T&quot;"/>
  </numFmts>
  <fonts count="2" x14ac:knownFonts="1">
    <font>
      <sz val="11"/>
      <color theme="1"/>
      <name val="Calibri"/>
      <family val="2"/>
      <scheme val="minor"/>
    </font>
    <font>
      <sz val="11"/>
      <color rgb="FF002060"/>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2" borderId="0" xfId="0" applyFill="1"/>
    <xf numFmtId="0" fontId="1" fillId="2" borderId="0" xfId="0" applyFont="1" applyFill="1"/>
  </cellXfs>
  <cellStyles count="1">
    <cellStyle name="Normal" xfId="0" builtinId="0"/>
  </cellStyles>
  <dxfs count="12">
    <dxf>
      <numFmt numFmtId="164" formatCode="0.0,,&quot;T&quot;"/>
    </dxf>
    <dxf>
      <numFmt numFmtId="164" formatCode="0.0,,&quot;T&quot;"/>
    </dxf>
    <dxf>
      <numFmt numFmtId="164" formatCode="0.0,,&quot;T&quot;"/>
    </dxf>
    <dxf>
      <numFmt numFmtId="164" formatCode="0.0,,&quot;T&quot;"/>
    </dxf>
    <dxf>
      <numFmt numFmtId="164" formatCode="0.0,,&quot;T&quot;"/>
    </dxf>
    <dxf>
      <numFmt numFmtId="14" formatCode="0.00%"/>
    </dxf>
    <dxf>
      <numFmt numFmtId="14" formatCode="0.00%"/>
    </dxf>
    <dxf>
      <numFmt numFmtId="0" formatCode="General"/>
    </dxf>
    <dxf>
      <numFmt numFmtId="14" formatCode="0.00%"/>
    </dxf>
    <dxf>
      <numFmt numFmtId="0" formatCode="General"/>
    </dxf>
    <dxf>
      <numFmt numFmtId="0" formatCode="General"/>
    </dxf>
    <dxf>
      <numFmt numFmtId="0" formatCode="General"/>
    </dxf>
  </dxfs>
  <tableStyles count="0" defaultTableStyle="TableStyleMedium2" defaultPivotStyle="PivotStyleLight16"/>
  <colors>
    <mruColors>
      <color rgb="FFF4C8DB"/>
      <color rgb="FF813367"/>
      <color rgb="FF4024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[GDP.xlsx]Pivot_Tables!PivotTable8</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latin typeface="+mj-lt"/>
              </a:rPr>
              <a:t>Top 10 Global Economies by GDP</a:t>
            </a:r>
            <a:endParaRPr lang="en-IN" b="1">
              <a:solidFill>
                <a:schemeClr val="bg1"/>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solidFill>
              <a:schemeClr val="bg1"/>
            </a:solidFill>
          </a:ln>
          <a:effectLst/>
        </c:spPr>
        <c:marker>
          <c:symbol val="none"/>
        </c:marker>
        <c:dLbl>
          <c:idx val="0"/>
          <c:numFmt formatCode="0.0,,&quot;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Pivot_Tables!$C$4</c:f>
              <c:strCache>
                <c:ptCount val="1"/>
                <c:pt idx="0">
                  <c:v>Total</c:v>
                </c:pt>
              </c:strCache>
            </c:strRef>
          </c:tx>
          <c:spPr>
            <a:solidFill>
              <a:schemeClr val="accent1"/>
            </a:solidFill>
            <a:ln>
              <a:solidFill>
                <a:schemeClr val="bg1"/>
              </a:solidFill>
            </a:ln>
            <a:effectLst/>
          </c:spPr>
          <c:invertIfNegative val="0"/>
          <c:dLbls>
            <c:numFmt formatCode="0.0,,&quot;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Pivot_Tables!$B$5:$B$15</c:f>
              <c:strCache>
                <c:ptCount val="10"/>
                <c:pt idx="0">
                  <c:v>United States</c:v>
                </c:pt>
                <c:pt idx="1">
                  <c:v>China </c:v>
                </c:pt>
                <c:pt idx="2">
                  <c:v>Germany</c:v>
                </c:pt>
                <c:pt idx="3">
                  <c:v>India</c:v>
                </c:pt>
                <c:pt idx="4">
                  <c:v>Japan</c:v>
                </c:pt>
                <c:pt idx="5">
                  <c:v>United Kingdom</c:v>
                </c:pt>
                <c:pt idx="6">
                  <c:v>France</c:v>
                </c:pt>
                <c:pt idx="7">
                  <c:v>Italy</c:v>
                </c:pt>
                <c:pt idx="8">
                  <c:v>Russia</c:v>
                </c:pt>
                <c:pt idx="9">
                  <c:v>Canada</c:v>
                </c:pt>
              </c:strCache>
            </c:strRef>
          </c:cat>
          <c:val>
            <c:numRef>
              <c:f>Pivot_Tables!$C$5:$C$15</c:f>
              <c:numCache>
                <c:formatCode>General</c:formatCode>
                <c:ptCount val="10"/>
                <c:pt idx="0">
                  <c:v>31821293</c:v>
                </c:pt>
                <c:pt idx="1">
                  <c:v>20650754</c:v>
                </c:pt>
                <c:pt idx="2">
                  <c:v>5328184</c:v>
                </c:pt>
                <c:pt idx="3">
                  <c:v>4515629</c:v>
                </c:pt>
                <c:pt idx="4">
                  <c:v>4463634</c:v>
                </c:pt>
                <c:pt idx="5">
                  <c:v>4225639</c:v>
                </c:pt>
                <c:pt idx="6">
                  <c:v>3558562</c:v>
                </c:pt>
                <c:pt idx="7">
                  <c:v>2701544</c:v>
                </c:pt>
                <c:pt idx="8">
                  <c:v>2509421</c:v>
                </c:pt>
                <c:pt idx="9">
                  <c:v>2420837</c:v>
                </c:pt>
              </c:numCache>
            </c:numRef>
          </c:val>
          <c:extLst>
            <c:ext xmlns:c16="http://schemas.microsoft.com/office/drawing/2014/chart" uri="{C3380CC4-5D6E-409C-BE32-E72D297353CC}">
              <c16:uniqueId val="{00000000-42A1-44F3-A22F-1376641B2079}"/>
            </c:ext>
          </c:extLst>
        </c:ser>
        <c:dLbls>
          <c:dLblPos val="outEnd"/>
          <c:showLegendKey val="0"/>
          <c:showVal val="1"/>
          <c:showCatName val="0"/>
          <c:showSerName val="0"/>
          <c:showPercent val="0"/>
          <c:showBubbleSize val="0"/>
        </c:dLbls>
        <c:gapWidth val="219"/>
        <c:overlap val="-27"/>
        <c:axId val="1069176655"/>
        <c:axId val="1069180495"/>
      </c:barChart>
      <c:catAx>
        <c:axId val="10691766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chemeClr val="bg1"/>
                </a:solidFill>
                <a:latin typeface="+mn-lt"/>
                <a:ea typeface="+mn-ea"/>
                <a:cs typeface="+mn-cs"/>
              </a:defRPr>
            </a:pPr>
            <a:endParaRPr lang="en-US"/>
          </a:p>
        </c:txPr>
        <c:crossAx val="1069180495"/>
        <c:crosses val="autoZero"/>
        <c:auto val="1"/>
        <c:lblAlgn val="ctr"/>
        <c:lblOffset val="100"/>
        <c:noMultiLvlLbl val="0"/>
      </c:catAx>
      <c:valAx>
        <c:axId val="1069180495"/>
        <c:scaling>
          <c:orientation val="minMax"/>
        </c:scaling>
        <c:delete val="1"/>
        <c:axPos val="l"/>
        <c:numFmt formatCode="General" sourceLinked="1"/>
        <c:majorTickMark val="none"/>
        <c:minorTickMark val="none"/>
        <c:tickLblPos val="nextTo"/>
        <c:crossAx val="106917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[GDP.xlsx]Pivot_Tables!PivotTable9</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latin typeface="+mj-lt"/>
              </a:rPr>
              <a:t>GDP Distribution Across Economic Tiers</a:t>
            </a:r>
            <a:endParaRPr lang="en-US" b="1">
              <a:solidFill>
                <a:schemeClr val="bg1"/>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Pivot_Tables!$G$4</c:f>
              <c:strCache>
                <c:ptCount val="1"/>
                <c:pt idx="0">
                  <c:v>Total</c:v>
                </c:pt>
              </c:strCache>
            </c:strRef>
          </c:tx>
          <c:spPr>
            <a:solidFill>
              <a:schemeClr val="accent1"/>
            </a:solidFill>
            <a:ln>
              <a:solidFill>
                <a:schemeClr val="bg1"/>
              </a:solidFill>
            </a:ln>
            <a:effectLst/>
          </c:spPr>
          <c:invertIfNegative val="0"/>
          <c:cat>
            <c:strRef>
              <c:f>Pivot_Tables!$F$5:$F$9</c:f>
              <c:strCache>
                <c:ptCount val="4"/>
                <c:pt idx="0">
                  <c:v>T4</c:v>
                </c:pt>
                <c:pt idx="1">
                  <c:v>T3</c:v>
                </c:pt>
                <c:pt idx="2">
                  <c:v>T2</c:v>
                </c:pt>
                <c:pt idx="3">
                  <c:v>T1</c:v>
                </c:pt>
              </c:strCache>
            </c:strRef>
          </c:cat>
          <c:val>
            <c:numRef>
              <c:f>Pivot_Tables!$G$5:$G$9</c:f>
              <c:numCache>
                <c:formatCode>General</c:formatCode>
                <c:ptCount val="4"/>
                <c:pt idx="0">
                  <c:v>2973589</c:v>
                </c:pt>
                <c:pt idx="1">
                  <c:v>9938775</c:v>
                </c:pt>
                <c:pt idx="2">
                  <c:v>10019038</c:v>
                </c:pt>
                <c:pt idx="3">
                  <c:v>100486082</c:v>
                </c:pt>
              </c:numCache>
            </c:numRef>
          </c:val>
          <c:extLst>
            <c:ext xmlns:c16="http://schemas.microsoft.com/office/drawing/2014/chart" uri="{C3380CC4-5D6E-409C-BE32-E72D297353CC}">
              <c16:uniqueId val="{00000000-F7F8-47D5-9CA4-4FA7DCD1FAC4}"/>
            </c:ext>
          </c:extLst>
        </c:ser>
        <c:dLbls>
          <c:showLegendKey val="0"/>
          <c:showVal val="0"/>
          <c:showCatName val="0"/>
          <c:showSerName val="0"/>
          <c:showPercent val="0"/>
          <c:showBubbleSize val="0"/>
        </c:dLbls>
        <c:gapWidth val="182"/>
        <c:axId val="1069177135"/>
        <c:axId val="1069178575"/>
      </c:barChart>
      <c:catAx>
        <c:axId val="106917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69178575"/>
        <c:crosses val="autoZero"/>
        <c:auto val="1"/>
        <c:lblAlgn val="ctr"/>
        <c:lblOffset val="100"/>
        <c:noMultiLvlLbl val="0"/>
      </c:catAx>
      <c:valAx>
        <c:axId val="1069178575"/>
        <c:scaling>
          <c:orientation val="minMax"/>
        </c:scaling>
        <c:delete val="0"/>
        <c:axPos val="b"/>
        <c:numFmt formatCode="0,,&quot;T&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6917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[GDP.xlsx]Pivot_Tables!PivotTable10</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latin typeface="+mj-lt"/>
              </a:rPr>
              <a:t>Relative Economic Strength vs Global Leader</a:t>
            </a:r>
            <a:endParaRPr lang="en-US" b="1">
              <a:solidFill>
                <a:schemeClr val="bg1"/>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Pivot_Tables!$J$5:$J$15</c:f>
              <c:strCache>
                <c:ptCount val="10"/>
                <c:pt idx="0">
                  <c:v>United States</c:v>
                </c:pt>
                <c:pt idx="1">
                  <c:v>China </c:v>
                </c:pt>
                <c:pt idx="2">
                  <c:v>Germany</c:v>
                </c:pt>
                <c:pt idx="3">
                  <c:v>India</c:v>
                </c:pt>
                <c:pt idx="4">
                  <c:v>Japan</c:v>
                </c:pt>
                <c:pt idx="5">
                  <c:v>United Kingdom</c:v>
                </c:pt>
                <c:pt idx="6">
                  <c:v>France</c:v>
                </c:pt>
                <c:pt idx="7">
                  <c:v>Italy</c:v>
                </c:pt>
                <c:pt idx="8">
                  <c:v>Russia</c:v>
                </c:pt>
                <c:pt idx="9">
                  <c:v>Canada</c:v>
                </c:pt>
              </c:strCache>
            </c:strRef>
          </c:cat>
          <c:val>
            <c:numRef>
              <c:f>Pivot_Tables!$K$5:$K$15</c:f>
              <c:numCache>
                <c:formatCode>0.00%</c:formatCode>
                <c:ptCount val="10"/>
                <c:pt idx="0">
                  <c:v>1</c:v>
                </c:pt>
                <c:pt idx="1">
                  <c:v>0.6489602418104129</c:v>
                </c:pt>
                <c:pt idx="2">
                  <c:v>0.16744083906332782</c:v>
                </c:pt>
                <c:pt idx="3">
                  <c:v>0.14190589301320974</c:v>
                </c:pt>
                <c:pt idx="4">
                  <c:v>0.14027192421125062</c:v>
                </c:pt>
                <c:pt idx="5">
                  <c:v>0.13279281266163509</c:v>
                </c:pt>
                <c:pt idx="6">
                  <c:v>0.11182958530314906</c:v>
                </c:pt>
                <c:pt idx="7">
                  <c:v>8.4897367306853308E-2</c:v>
                </c:pt>
                <c:pt idx="8">
                  <c:v>7.8859806231003873E-2</c:v>
                </c:pt>
                <c:pt idx="9">
                  <c:v>7.6076009859184543E-2</c:v>
                </c:pt>
              </c:numCache>
            </c:numRef>
          </c:val>
          <c:smooth val="0"/>
          <c:extLst>
            <c:ext xmlns:c16="http://schemas.microsoft.com/office/drawing/2014/chart" uri="{C3380CC4-5D6E-409C-BE32-E72D297353CC}">
              <c16:uniqueId val="{00000000-0400-47B8-8728-DE0CD4335AFD}"/>
            </c:ext>
          </c:extLst>
        </c:ser>
        <c:dLbls>
          <c:dLblPos val="t"/>
          <c:showLegendKey val="0"/>
          <c:showVal val="1"/>
          <c:showCatName val="0"/>
          <c:showSerName val="0"/>
          <c:showPercent val="0"/>
          <c:showBubbleSize val="0"/>
        </c:dLbls>
        <c:marker val="1"/>
        <c:smooth val="0"/>
        <c:axId val="1069188655"/>
        <c:axId val="1069172335"/>
      </c:lineChart>
      <c:catAx>
        <c:axId val="10691886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069172335"/>
        <c:crosses val="autoZero"/>
        <c:auto val="1"/>
        <c:lblAlgn val="ctr"/>
        <c:lblOffset val="100"/>
        <c:noMultiLvlLbl val="0"/>
      </c:catAx>
      <c:valAx>
        <c:axId val="1069172335"/>
        <c:scaling>
          <c:orientation val="minMax"/>
        </c:scaling>
        <c:delete val="1"/>
        <c:axPos val="l"/>
        <c:numFmt formatCode="0.00%" sourceLinked="1"/>
        <c:majorTickMark val="none"/>
        <c:minorTickMark val="none"/>
        <c:tickLblPos val="nextTo"/>
        <c:crossAx val="106918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[GDP.xlsx]Pivot_Tables!PivotTable11</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latin typeface="+mj-lt"/>
              </a:rPr>
              <a:t>Global GDP Share by Economic Tier</a:t>
            </a:r>
            <a:endParaRPr lang="en-US" b="1">
              <a:solidFill>
                <a:schemeClr val="bg1"/>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Pivot_Tables!$O$4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C9-4B4F-A7F7-C50EBF317E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C9-4B4F-A7F7-C50EBF317E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C9-4B4F-A7F7-C50EBF317E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C9-4B4F-A7F7-C50EBF317E79}"/>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Pivot_Tables!$N$5:$N$9</c:f>
              <c:strCache>
                <c:ptCount val="4"/>
                <c:pt idx="0">
                  <c:v>T1</c:v>
                </c:pt>
                <c:pt idx="1">
                  <c:v>T2</c:v>
                </c:pt>
                <c:pt idx="2">
                  <c:v>T3</c:v>
                </c:pt>
                <c:pt idx="3">
                  <c:v>T4</c:v>
                </c:pt>
              </c:strCache>
            </c:strRef>
          </c:cat>
          <c:val>
            <c:numRef>
              <c:f>Pivot_Tables!$O$5:$O$9</c:f>
              <c:numCache>
                <c:formatCode>0.00%</c:formatCode>
                <c:ptCount val="4"/>
                <c:pt idx="0">
                  <c:v>0.81419648775209208</c:v>
                </c:pt>
                <c:pt idx="1">
                  <c:v>8.1180053873080082E-2</c:v>
                </c:pt>
                <c:pt idx="2">
                  <c:v>8.0529716518933397E-2</c:v>
                </c:pt>
                <c:pt idx="3">
                  <c:v>2.4093741855894583E-2</c:v>
                </c:pt>
              </c:numCache>
            </c:numRef>
          </c:val>
          <c:extLst>
            <c:ext xmlns:c16="http://schemas.microsoft.com/office/drawing/2014/chart" uri="{C3380CC4-5D6E-409C-BE32-E72D297353CC}">
              <c16:uniqueId val="{00000000-66EE-4C59-A607-6ACDFEFCD34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596900</xdr:colOff>
      <xdr:row>3</xdr:row>
      <xdr:rowOff>161925</xdr:rowOff>
    </xdr:from>
    <xdr:to>
      <xdr:col>10</xdr:col>
      <xdr:colOff>292100</xdr:colOff>
      <xdr:row>18</xdr:row>
      <xdr:rowOff>142875</xdr:rowOff>
    </xdr:to>
    <xdr:graphicFrame macro="">
      <xdr:nvGraphicFramePr>
        <xdr:cNvPr id="2" name="Chart 1">
          <a:extLst>
            <a:ext uri="{FF2B5EF4-FFF2-40B4-BE49-F238E27FC236}">
              <a16:creationId xmlns:a16="http://schemas.microsoft.com/office/drawing/2014/main" id="{64A38FB0-7E4B-1C40-88D4-7FEBC6416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393700</xdr:colOff>
      <xdr:row>19</xdr:row>
      <xdr:rowOff>47625</xdr:rowOff>
    </xdr:from>
    <xdr:to>
      <xdr:col>17</xdr:col>
      <xdr:colOff>438150</xdr:colOff>
      <xdr:row>34</xdr:row>
      <xdr:rowOff>28575</xdr:rowOff>
    </xdr:to>
    <xdr:graphicFrame macro="">
      <xdr:nvGraphicFramePr>
        <xdr:cNvPr id="3" name="Chart 2">
          <a:extLst>
            <a:ext uri="{FF2B5EF4-FFF2-40B4-BE49-F238E27FC236}">
              <a16:creationId xmlns:a16="http://schemas.microsoft.com/office/drawing/2014/main" id="{6EB06A25-B4C1-054F-7570-BDEB6130A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596900</xdr:colOff>
      <xdr:row>19</xdr:row>
      <xdr:rowOff>53975</xdr:rowOff>
    </xdr:from>
    <xdr:to>
      <xdr:col>10</xdr:col>
      <xdr:colOff>292100</xdr:colOff>
      <xdr:row>34</xdr:row>
      <xdr:rowOff>34925</xdr:rowOff>
    </xdr:to>
    <xdr:graphicFrame macro="">
      <xdr:nvGraphicFramePr>
        <xdr:cNvPr id="4" name="Chart 3">
          <a:extLst>
            <a:ext uri="{FF2B5EF4-FFF2-40B4-BE49-F238E27FC236}">
              <a16:creationId xmlns:a16="http://schemas.microsoft.com/office/drawing/2014/main" id="{408D1299-6961-248D-241B-D38277DB9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393700</xdr:colOff>
      <xdr:row>3</xdr:row>
      <xdr:rowOff>161925</xdr:rowOff>
    </xdr:from>
    <xdr:to>
      <xdr:col>17</xdr:col>
      <xdr:colOff>431800</xdr:colOff>
      <xdr:row>18</xdr:row>
      <xdr:rowOff>142875</xdr:rowOff>
    </xdr:to>
    <xdr:graphicFrame macro="">
      <xdr:nvGraphicFramePr>
        <xdr:cNvPr id="5" name="Chart 4">
          <a:extLst>
            <a:ext uri="{FF2B5EF4-FFF2-40B4-BE49-F238E27FC236}">
              <a16:creationId xmlns:a16="http://schemas.microsoft.com/office/drawing/2014/main" id="{7EE1F338-189E-B4DA-00E0-F9D087E50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139700</xdr:colOff>
      <xdr:row>0</xdr:row>
      <xdr:rowOff>101600</xdr:rowOff>
    </xdr:from>
    <xdr:to>
      <xdr:col>17</xdr:col>
      <xdr:colOff>463550</xdr:colOff>
      <xdr:row>3</xdr:row>
      <xdr:rowOff>57150</xdr:rowOff>
    </xdr:to>
    <xdr:sp macro="" textlink="">
      <xdr:nvSpPr>
        <xdr:cNvPr id="6" name="Rectangle 5">
          <a:extLst>
            <a:ext uri="{FF2B5EF4-FFF2-40B4-BE49-F238E27FC236}">
              <a16:creationId xmlns:a16="http://schemas.microsoft.com/office/drawing/2014/main" id="{E0613BF7-8DE0-792A-BA32-47B6CF1DCB60}"/>
            </a:ext>
          </a:extLst>
        </xdr:cNvPr>
        <xdr:cNvSpPr/>
      </xdr:nvSpPr>
      <xdr:spPr>
        <a:xfrm>
          <a:off x="139700" y="101600"/>
          <a:ext cx="10692732" cy="506997"/>
        </a:xfrm>
        <a:prstGeom prst="rect">
          <a:avLst/>
        </a:prstGeom>
        <a:solidFill>
          <a:srgbClr val="002060"/>
        </a:solidFill>
        <a:ln>
          <a:solidFill>
            <a:schemeClr val="bg1"/>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mj-lt"/>
            </a:rPr>
            <a:t>Global Economic Power &amp; Concentration Analysis</a:t>
          </a:r>
        </a:p>
      </xdr:txBody>
    </xdr:sp>
    <xdr:clientData/>
  </xdr:twoCellAnchor>
  <xdr:twoCellAnchor>
    <xdr:from>
      <xdr:col>0</xdr:col>
      <xdr:colOff>133350</xdr:colOff>
      <xdr:row>3</xdr:row>
      <xdr:rowOff>177800</xdr:rowOff>
    </xdr:from>
    <xdr:to>
      <xdr:col>2</xdr:col>
      <xdr:colOff>450850</xdr:colOff>
      <xdr:row>10</xdr:row>
      <xdr:rowOff>19050</xdr:rowOff>
    </xdr:to>
    <xdr:sp macro="" textlink="#REF!">
      <xdr:nvSpPr>
        <xdr:cNvPr id="7" name="Rectangle 6">
          <a:extLst>
            <a:ext uri="{FF2B5EF4-FFF2-40B4-BE49-F238E27FC236}">
              <a16:creationId xmlns:a16="http://schemas.microsoft.com/office/drawing/2014/main" id="{C216513B-BFF4-1565-4A99-DF173E1708D0}"/>
            </a:ext>
          </a:extLst>
        </xdr:cNvPr>
        <xdr:cNvSpPr/>
      </xdr:nvSpPr>
      <xdr:spPr>
        <a:xfrm>
          <a:off x="133350" y="730250"/>
          <a:ext cx="1536700" cy="1130300"/>
        </a:xfrm>
        <a:prstGeom prst="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baseline="0">
              <a:solidFill>
                <a:schemeClr val="bg1"/>
              </a:solidFill>
              <a:effectLst/>
              <a:latin typeface="Calibri"/>
              <a:ea typeface="Calibri"/>
              <a:cs typeface="Calibri"/>
            </a:rPr>
            <a:t>TOTAL GDP</a:t>
          </a:r>
        </a:p>
        <a:p>
          <a:pPr algn="ctr"/>
          <a:fld id="{79B23736-1571-4EA0-B85B-DDCFCE2230BE}" type="TxLink">
            <a:rPr lang="en-US" sz="1400" b="1" i="0" u="none" strike="noStrike" baseline="0">
              <a:solidFill>
                <a:schemeClr val="bg1"/>
              </a:solidFill>
              <a:effectLst/>
              <a:latin typeface="Calibri"/>
              <a:ea typeface="Calibri"/>
              <a:cs typeface="Calibri"/>
            </a:rPr>
            <a:pPr algn="ctr"/>
            <a:t>123.4T</a:t>
          </a:fld>
          <a:endParaRPr lang="en-US" b="1" baseline="0">
            <a:solidFill>
              <a:schemeClr val="bg1"/>
            </a:solidFill>
            <a:effectLst/>
          </a:endParaRPr>
        </a:p>
      </xdr:txBody>
    </xdr:sp>
    <xdr:clientData/>
  </xdr:twoCellAnchor>
  <xdr:twoCellAnchor>
    <xdr:from>
      <xdr:col>0</xdr:col>
      <xdr:colOff>127000</xdr:colOff>
      <xdr:row>10</xdr:row>
      <xdr:rowOff>133350</xdr:rowOff>
    </xdr:from>
    <xdr:to>
      <xdr:col>2</xdr:col>
      <xdr:colOff>457200</xdr:colOff>
      <xdr:row>16</xdr:row>
      <xdr:rowOff>158750</xdr:rowOff>
    </xdr:to>
    <xdr:sp macro="" textlink="#REF!">
      <xdr:nvSpPr>
        <xdr:cNvPr id="9" name="Rectangle 8">
          <a:extLst>
            <a:ext uri="{FF2B5EF4-FFF2-40B4-BE49-F238E27FC236}">
              <a16:creationId xmlns:a16="http://schemas.microsoft.com/office/drawing/2014/main" id="{985F18E8-D837-4948-BADA-7319C2AFB5AB}"/>
            </a:ext>
          </a:extLst>
        </xdr:cNvPr>
        <xdr:cNvSpPr/>
      </xdr:nvSpPr>
      <xdr:spPr>
        <a:xfrm>
          <a:off x="127000" y="1974850"/>
          <a:ext cx="1549400" cy="1130300"/>
        </a:xfrm>
        <a:prstGeom prst="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baseline="0">
              <a:solidFill>
                <a:schemeClr val="bg1"/>
              </a:solidFill>
              <a:effectLst/>
              <a:latin typeface="Calibri"/>
              <a:ea typeface="Calibri"/>
              <a:cs typeface="Calibri"/>
            </a:rPr>
            <a:t>TOP ECONOMY</a:t>
          </a:r>
        </a:p>
        <a:p>
          <a:pPr algn="ctr"/>
          <a:r>
            <a:rPr lang="en-US" sz="1400" b="1" i="0" u="none" strike="noStrike" baseline="0">
              <a:solidFill>
                <a:schemeClr val="bg1"/>
              </a:solidFill>
              <a:effectLst/>
              <a:latin typeface="Calibri"/>
              <a:ea typeface="Calibri"/>
              <a:cs typeface="Calibri"/>
            </a:rPr>
            <a:t>SHARE  </a:t>
          </a:r>
          <a:fld id="{0AF4244E-C5D3-4268-A64C-8E8D77710C71}" type="TxLink">
            <a:rPr lang="en-US" sz="1400" b="1" i="0" u="none" strike="noStrike" baseline="0">
              <a:solidFill>
                <a:schemeClr val="bg1"/>
              </a:solidFill>
              <a:effectLst/>
              <a:latin typeface="Calibri"/>
              <a:ea typeface="Calibri"/>
              <a:cs typeface="Calibri"/>
            </a:rPr>
            <a:pPr algn="ctr"/>
            <a:t>25.78%</a:t>
          </a:fld>
          <a:endParaRPr lang="en-US" sz="1400" b="1" i="0" u="none" strike="noStrike" baseline="0">
            <a:solidFill>
              <a:schemeClr val="bg1"/>
            </a:solidFill>
            <a:effectLst/>
            <a:latin typeface="Calibri"/>
            <a:ea typeface="Calibri"/>
            <a:cs typeface="Calibri"/>
          </a:endParaRPr>
        </a:p>
      </xdr:txBody>
    </xdr:sp>
    <xdr:clientData/>
  </xdr:twoCellAnchor>
  <xdr:twoCellAnchor>
    <xdr:from>
      <xdr:col>0</xdr:col>
      <xdr:colOff>127000</xdr:colOff>
      <xdr:row>17</xdr:row>
      <xdr:rowOff>101600</xdr:rowOff>
    </xdr:from>
    <xdr:to>
      <xdr:col>2</xdr:col>
      <xdr:colOff>457200</xdr:colOff>
      <xdr:row>25</xdr:row>
      <xdr:rowOff>76200</xdr:rowOff>
    </xdr:to>
    <xdr:sp macro="" textlink="#REF!">
      <xdr:nvSpPr>
        <xdr:cNvPr id="11" name="Rectangle 10">
          <a:extLst>
            <a:ext uri="{FF2B5EF4-FFF2-40B4-BE49-F238E27FC236}">
              <a16:creationId xmlns:a16="http://schemas.microsoft.com/office/drawing/2014/main" id="{6A94EBAB-0BCC-43E3-9BCD-9BEDD886B766}"/>
            </a:ext>
          </a:extLst>
        </xdr:cNvPr>
        <xdr:cNvSpPr/>
      </xdr:nvSpPr>
      <xdr:spPr>
        <a:xfrm>
          <a:off x="127000" y="3232150"/>
          <a:ext cx="1549400" cy="1447800"/>
        </a:xfrm>
        <a:prstGeom prst="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400" b="1" i="0" u="none" strike="noStrike" baseline="0">
            <a:solidFill>
              <a:schemeClr val="bg1"/>
            </a:solidFill>
            <a:effectLst/>
            <a:latin typeface="Calibri"/>
            <a:ea typeface="Calibri"/>
            <a:cs typeface="Calibri"/>
          </a:endParaRPr>
        </a:p>
      </xdr:txBody>
    </xdr:sp>
    <xdr:clientData/>
  </xdr:twoCellAnchor>
  <xdr:twoCellAnchor editAs="oneCell">
    <xdr:from>
      <xdr:col>0</xdr:col>
      <xdr:colOff>215900</xdr:colOff>
      <xdr:row>18</xdr:row>
      <xdr:rowOff>38100</xdr:rowOff>
    </xdr:from>
    <xdr:to>
      <xdr:col>2</xdr:col>
      <xdr:colOff>361950</xdr:colOff>
      <xdr:row>24</xdr:row>
      <xdr:rowOff>107950</xdr:rowOff>
    </xdr:to>
    <mc:AlternateContent xmlns:mc="http://schemas.openxmlformats.org/markup-compatibility/2006" xmlns:a14="http://schemas.microsoft.com/office/drawing/2010/main">
      <mc:Choice Requires="a14">
        <xdr:graphicFrame macro="">
          <xdr:nvGraphicFramePr>
            <xdr:cNvPr id="12" name="GDP_BAND">
              <a:extLst>
                <a:ext uri="{FF2B5EF4-FFF2-40B4-BE49-F238E27FC236}">
                  <a16:creationId xmlns:a16="http://schemas.microsoft.com/office/drawing/2014/main" id="{5194CC96-BE15-6F7D-814D-EAFE4C4BE316}"/>
                </a:ext>
              </a:extLst>
            </xdr:cNvPr>
            <xdr:cNvGraphicFramePr/>
          </xdr:nvGraphicFramePr>
          <xdr:xfrm>
            <a:off x="0" y="0"/>
            <a:ext cx="0" cy="0"/>
          </xdr:xfrm>
          <a:graphic>
            <a:graphicData uri="http://schemas.microsoft.com/office/drawing/2010/slicer">
              <sle:slicer xmlns:sle="http://schemas.microsoft.com/office/drawing/2010/slicer" name="GDP_BAND"/>
            </a:graphicData>
          </a:graphic>
        </xdr:graphicFrame>
      </mc:Choice>
      <mc:Fallback xmlns="">
        <xdr:sp macro="" textlink="">
          <xdr:nvSpPr>
            <xdr:cNvPr id="0" name=""/>
            <xdr:cNvSpPr>
              <a:spLocks noTextEdit="1"/>
            </xdr:cNvSpPr>
          </xdr:nvSpPr>
          <xdr:spPr>
            <a:xfrm>
              <a:off x="215900" y="3352800"/>
              <a:ext cx="1365250" cy="117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127000</xdr:colOff>
      <xdr:row>26</xdr:row>
      <xdr:rowOff>25400</xdr:rowOff>
    </xdr:from>
    <xdr:to>
      <xdr:col>2</xdr:col>
      <xdr:colOff>457200</xdr:colOff>
      <xdr:row>34</xdr:row>
      <xdr:rowOff>0</xdr:rowOff>
    </xdr:to>
    <xdr:sp macro="" textlink="#REF!">
      <xdr:nvSpPr>
        <xdr:cNvPr id="13" name="Rectangle 12">
          <a:extLst>
            <a:ext uri="{FF2B5EF4-FFF2-40B4-BE49-F238E27FC236}">
              <a16:creationId xmlns:a16="http://schemas.microsoft.com/office/drawing/2014/main" id="{7ED1E9E2-6A24-4C97-A4E6-E052713A89C9}"/>
            </a:ext>
          </a:extLst>
        </xdr:cNvPr>
        <xdr:cNvSpPr/>
      </xdr:nvSpPr>
      <xdr:spPr>
        <a:xfrm>
          <a:off x="127000" y="4813300"/>
          <a:ext cx="1549400" cy="1447800"/>
        </a:xfrm>
        <a:prstGeom prst="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400" b="1" i="0" u="none" strike="noStrike" baseline="0">
            <a:solidFill>
              <a:schemeClr val="bg1"/>
            </a:solidFill>
            <a:effectLst/>
            <a:latin typeface="Calibri"/>
            <a:ea typeface="Calibri"/>
            <a:cs typeface="Calibri"/>
          </a:endParaRPr>
        </a:p>
      </xdr:txBody>
    </xdr:sp>
    <xdr:clientData/>
  </xdr:twoCellAnchor>
  <xdr:twoCellAnchor editAs="oneCell">
    <xdr:from>
      <xdr:col>0</xdr:col>
      <xdr:colOff>215900</xdr:colOff>
      <xdr:row>26</xdr:row>
      <xdr:rowOff>158750</xdr:rowOff>
    </xdr:from>
    <xdr:to>
      <xdr:col>2</xdr:col>
      <xdr:colOff>355600</xdr:colOff>
      <xdr:row>33</xdr:row>
      <xdr:rowOff>50799</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E8EF589E-8B79-E4BD-7A1B-5E31BDB7CB8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15900" y="4946650"/>
              <a:ext cx="13589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nath" refreshedDate="46084.71385266204" createdVersion="8" refreshedVersion="8" minRefreshableVersion="3" recordCount="191" xr:uid="{AA2E6EF4-B7D6-405B-8614-15DDCC429DCF}">
  <cacheSource type="worksheet">
    <worksheetSource name="Country_GDP"/>
  </cacheSource>
  <cacheFields count="7">
    <cacheField name="Rank" numFmtId="0">
      <sharedItems containsSemiMixedTypes="0" containsString="0" containsNumber="1" containsInteger="1" minValue="1" maxValue="191"/>
    </cacheField>
    <cacheField name="Country" numFmtId="0">
      <sharedItems count="204">
        <s v="United States"/>
        <s v="China "/>
        <s v="Germany"/>
        <s v="India"/>
        <s v="Japan"/>
        <s v="United Kingdom"/>
        <s v="France"/>
        <s v="Italy"/>
        <s v="Russia"/>
        <s v="Canada"/>
        <s v="Brazil"/>
        <s v="Spain"/>
        <s v="Mexico"/>
        <s v="Australia"/>
        <s v="South Korea"/>
        <s v="Turkey"/>
        <s v="Indonesia"/>
        <s v="Netherlands"/>
        <s v="Saudi Arabia"/>
        <s v="Poland"/>
        <s v="Switzerland"/>
        <s v="Taiwan"/>
        <s v="Belgium"/>
        <s v="Ireland"/>
        <s v="Sweden"/>
        <s v="Argentina"/>
        <s v="Israel"/>
        <s v="Singapore"/>
        <s v="Austria"/>
        <s v="United Arab Emirates"/>
        <s v="Thailand"/>
        <s v="Norway"/>
        <s v="Philippines"/>
        <s v="Bangladesh"/>
        <s v="Vietnam"/>
        <s v="Malaysia"/>
        <s v="Denmark"/>
        <s v="Colombia"/>
        <s v="Hong Kong "/>
        <s v="Romania"/>
        <s v="South Africa"/>
        <s v="Czech Republic"/>
        <s v="Pakistan"/>
        <s v="Egypt"/>
        <s v="Iran"/>
        <s v="Portugal"/>
        <s v="Chile"/>
        <s v="Finland"/>
        <s v="Nigeria"/>
        <s v="Peru"/>
        <s v="Kazakhstan"/>
        <s v="Greece"/>
        <s v="Algeria"/>
        <s v="New Zealand"/>
        <s v="Iraq"/>
        <s v="Hungary"/>
        <s v="Qatar"/>
        <s v="Ukraine "/>
        <s v="Morocco"/>
        <s v="Slovakia"/>
        <s v="Kuwait"/>
        <s v="Uzbekistan"/>
        <s v="Bulgaria"/>
        <s v="Kenya"/>
        <s v="Dominican Republic"/>
        <s v="Ecuador"/>
        <s v="Guatemala"/>
        <s v="Puerto Rico"/>
        <s v="Ethiopia"/>
        <s v="Ghana"/>
        <s v="Croatia"/>
        <s v="Serbia"/>
        <s v="Ivory Coast"/>
        <s v="Angola"/>
        <s v="Costa Rica"/>
        <s v="Oman"/>
        <s v="Luxembourg"/>
        <s v="Lithuania"/>
        <s v="Panama"/>
        <s v="Tanzania "/>
        <s v="Uruguay"/>
        <s v="Belarus"/>
        <s v="DR Congo"/>
        <s v="Slovenia"/>
        <s v="Azerbaijan"/>
        <s v="Venezuela"/>
        <s v="Turkmenistan"/>
        <s v="Uganda"/>
        <s v="Cameroon"/>
        <s v="Myanmar"/>
        <s v="Tunisia"/>
        <s v="Jordan"/>
        <s v="Bolivia"/>
        <s v="Zimbabwe"/>
        <s v="Macau "/>
        <s v="Latvia"/>
        <s v="Paraguay"/>
        <s v="Cambodia"/>
        <s v="Estonia"/>
        <s v="Bahrain"/>
        <s v="Libya"/>
        <s v="Nepal"/>
        <s v="Iceland"/>
        <s v="Cyprus"/>
        <s v="Honduras"/>
        <s v="Georgia "/>
        <s v="Senegal"/>
        <s v="Sudan"/>
        <s v="El Salvador"/>
        <s v="Bosnia and Herzegovina"/>
        <s v="Zambia"/>
        <s v="Papua New Guinea"/>
        <s v="Albania"/>
        <s v="Haiti"/>
        <s v="Guinea"/>
        <s v="Burkina Faso"/>
        <s v="Malta"/>
        <s v="Armenia"/>
        <s v="Mali"/>
        <s v="Guyana"/>
        <s v="Benin"/>
        <s v="Trinidad and Tobago"/>
        <s v="Mongolia"/>
        <s v="Mozambique"/>
        <s v="Niger"/>
        <s v="Jamaica"/>
        <s v="Chad"/>
        <s v="Gabon"/>
        <s v="Nicaragua"/>
        <s v="Kyrgyzstan"/>
        <s v="Madagascar"/>
        <s v="Moldova "/>
        <s v="North Macedonia"/>
        <s v="Botswana"/>
        <s v="Tajikistan"/>
        <s v="Malawi"/>
        <s v="Laos"/>
        <s v="Yemen"/>
        <s v="Congo"/>
        <s v="Bahamas"/>
        <s v="Mauritius"/>
        <s v="Brunei"/>
        <s v="Namibia"/>
        <s v="Rwanda"/>
        <s v="Equatorial Guinea"/>
        <s v="Kosovo"/>
        <s v="Somalia"/>
        <s v="Mauritania"/>
        <s v="Togo"/>
        <s v="Montenegro"/>
        <s v="Liechtenstein"/>
        <s v="Sierra Leone"/>
        <s v="Burundi"/>
        <s v="Maldives"/>
        <s v="Barbados"/>
        <s v="Fiji"/>
        <s v="South Sudan"/>
        <s v="Liberia"/>
        <s v="Eswatini"/>
        <s v="Djibouti"/>
        <s v="Suriname"/>
        <s v="Andorra"/>
        <s v="Aruba"/>
        <s v="Bhutan"/>
        <s v="Central African Republic"/>
        <s v="Belize"/>
        <s v="Cape Verde"/>
        <s v="Saint Lucia"/>
        <s v="Guinea-Bissau"/>
        <s v="Gambia"/>
        <s v="Lesotho"/>
        <s v="Antigua and Barbuda"/>
        <s v="San Marino"/>
        <s v="Seychelles"/>
        <s v="Timor-Leste"/>
        <s v="Solomon Islands"/>
        <s v="Comoros"/>
        <s v="Grenada"/>
        <s v="Samoa"/>
        <s v="Saint Vincent and the Grenadines"/>
        <s v="Saint Kitts and Nevis"/>
        <s v="Vanuatu"/>
        <s v="São Tomé and Príncipe"/>
        <s v="Dominica"/>
        <s v="Tonga"/>
        <s v="Micronesia"/>
        <s v="Palau"/>
        <s v="Kiribati"/>
        <s v="Marshall Islands"/>
        <s v="Nauru"/>
        <s v="Tuvalu"/>
        <s v="China n 1" u="1"/>
        <s v="Taiwan n 3" u="1"/>
        <s v="Hong Kong n 4" u="1"/>
        <s v="Ukraine n 5" u="1"/>
        <s v="Tanzania n 6" u="1"/>
        <s v="Macau n 7" u="1"/>
        <s v="Cyprus n 8" u="1"/>
        <s v="Georgia n 9" u="1"/>
        <s v="Moldova n 10" u="1"/>
        <s v="Taiwan " u="1"/>
        <s v="Tanzania" u="1"/>
        <s v="Macau" u="1"/>
        <s v="Moldova" u="1"/>
      </sharedItems>
    </cacheField>
    <cacheField name="GDP_USD" numFmtId="0">
      <sharedItems containsSemiMixedTypes="0" containsString="0" containsNumber="1" containsInteger="1" minValue="61" maxValue="31821293"/>
    </cacheField>
    <cacheField name="GDP_Share%" numFmtId="10">
      <sharedItems containsSemiMixedTypes="0" containsString="0" containsNumber="1" minValue="4.9425736146103907E-7" maxValue="0.25783456256489556"/>
    </cacheField>
    <cacheField name="GDP_BAND" numFmtId="0">
      <sharedItems count="4">
        <s v="T1"/>
        <s v="T2"/>
        <s v="T3"/>
        <s v="T4"/>
      </sharedItems>
    </cacheField>
    <cacheField name="Relative_To_Leader%" numFmtId="10">
      <sharedItems containsSemiMixedTypes="0" containsString="0" containsNumber="1" minValue="1.9169554172421591E-6" maxValue="1"/>
    </cacheField>
    <cacheField name="Dominance_Ratio%" numFmtId="10">
      <sharedItems containsSemiMixedTypes="0" containsString="0" containsNumber="1" minValue="4.9425736146103907E-7" maxValue="0.25783456256489556"/>
    </cacheField>
  </cacheFields>
  <extLst>
    <ext xmlns:x14="http://schemas.microsoft.com/office/spreadsheetml/2009/9/main" uri="{725AE2AE-9491-48be-B2B4-4EB974FC3084}">
      <x14:pivotCacheDefinition pivotCacheId="8801831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n v="1"/>
    <x v="0"/>
    <n v="31821293"/>
    <n v="0.25783456256489556"/>
    <x v="0"/>
    <n v="1"/>
    <n v="0.25783456256489556"/>
  </r>
  <r>
    <n v="2"/>
    <x v="1"/>
    <n v="20650754"/>
    <n v="0.16732438006919667"/>
    <x v="0"/>
    <n v="0.6489602418104129"/>
    <n v="0.16732438006919667"/>
  </r>
  <r>
    <n v="3"/>
    <x v="2"/>
    <n v="5328184"/>
    <n v="4.3172035495392211E-2"/>
    <x v="0"/>
    <n v="0.16744083906332782"/>
    <n v="4.3172035495392211E-2"/>
  </r>
  <r>
    <n v="4"/>
    <x v="3"/>
    <n v="4515629"/>
    <n v="3.6588243850441807E-2"/>
    <x v="0"/>
    <n v="0.14190589301320974"/>
    <n v="3.6588243850441807E-2"/>
  </r>
  <r>
    <n v="5"/>
    <x v="4"/>
    <n v="4463634"/>
    <n v="3.6166950219143991E-2"/>
    <x v="0"/>
    <n v="0.14027192421125062"/>
    <n v="3.6166950219143991E-2"/>
  </r>
  <r>
    <n v="6"/>
    <x v="5"/>
    <n v="4225639"/>
    <n v="3.4238576764374813E-2"/>
    <x v="0"/>
    <n v="0.13279281266163509"/>
    <n v="3.4238576764374813E-2"/>
  </r>
  <r>
    <n v="7"/>
    <x v="6"/>
    <n v="3558562"/>
    <n v="2.8833532208451113E-2"/>
    <x v="0"/>
    <n v="0.11182958530314906"/>
    <n v="2.8833532208451113E-2"/>
  </r>
  <r>
    <n v="8"/>
    <x v="7"/>
    <n v="2701544"/>
    <n v="2.1889475562473792E-2"/>
    <x v="0"/>
    <n v="8.4897367306853308E-2"/>
    <n v="2.1889475562473792E-2"/>
  </r>
  <r>
    <n v="9"/>
    <x v="8"/>
    <n v="2509421"/>
    <n v="2.0332783643523311E-2"/>
    <x v="0"/>
    <n v="7.8859806231003873E-2"/>
    <n v="2.0332783643523311E-2"/>
  </r>
  <r>
    <n v="10"/>
    <x v="9"/>
    <n v="2420837"/>
    <n v="1.9615024723725529E-2"/>
    <x v="0"/>
    <n v="7.6076009859184543E-2"/>
    <n v="1.9615024723725529E-2"/>
  </r>
  <r>
    <n v="11"/>
    <x v="10"/>
    <n v="2292690"/>
    <n v="1.857670344341163E-2"/>
    <x v="0"/>
    <n v="7.2048926484539769E-2"/>
    <n v="1.857670344341163E-2"/>
  </r>
  <r>
    <n v="12"/>
    <x v="11"/>
    <n v="2041830"/>
    <n v="1.6544090300852351E-2"/>
    <x v="0"/>
    <n v="6.4165525894877992E-2"/>
    <n v="1.6544090300852351E-2"/>
  </r>
  <r>
    <n v="13"/>
    <x v="12"/>
    <n v="2030999"/>
    <n v="1.6456331260164079E-2"/>
    <x v="0"/>
    <n v="6.3825156319072263E-2"/>
    <n v="1.6456331260164079E-2"/>
  </r>
  <r>
    <n v="14"/>
    <x v="13"/>
    <n v="1948227"/>
    <n v="1.578566453355993E-2"/>
    <x v="0"/>
    <n v="6.1224004945367873E-2"/>
    <n v="1.578566453355993E-2"/>
  </r>
  <r>
    <n v="15"/>
    <x v="14"/>
    <n v="1936617"/>
    <n v="1.5691593583288411E-2"/>
    <x v="0"/>
    <n v="6.0859154906118991E-2"/>
    <n v="1.5691593583288411E-2"/>
  </r>
  <r>
    <n v="16"/>
    <x v="15"/>
    <n v="1576110"/>
    <n v="1.2770556884792757E-2"/>
    <x v="0"/>
    <n v="4.9530042666713764E-2"/>
    <n v="1.2770556884792757E-2"/>
  </r>
  <r>
    <n v="17"/>
    <x v="16"/>
    <n v="1550236"/>
    <n v="1.2560910737736316E-2"/>
    <x v="0"/>
    <n v="4.8716939314816653E-2"/>
    <n v="1.2560910737736316E-2"/>
  </r>
  <r>
    <n v="18"/>
    <x v="17"/>
    <n v="1413076"/>
    <n v="1.1449560906621626E-2"/>
    <x v="0"/>
    <n v="4.4406617920899692E-2"/>
    <n v="1.1449560906621626E-2"/>
  </r>
  <r>
    <n v="19"/>
    <x v="18"/>
    <n v="1316250"/>
    <n v="1.0665020524968731E-2"/>
    <x v="0"/>
    <n v="4.1363812589262167E-2"/>
    <n v="1.0665020524968731E-2"/>
  </r>
  <r>
    <n v="20"/>
    <x v="19"/>
    <n v="1109962"/>
    <n v="8.9935555646232426E-3"/>
    <x v="0"/>
    <n v="3.4881109325130187E-2"/>
    <n v="8.9935555646232426E-3"/>
  </r>
  <r>
    <n v="21"/>
    <x v="20"/>
    <n v="1074588"/>
    <n v="8.7069349104540172E-3"/>
    <x v="0"/>
    <n v="3.3769463736121594E-2"/>
    <n v="8.7069349104540172E-3"/>
  </r>
  <r>
    <n v="22"/>
    <x v="21"/>
    <n v="971448"/>
    <n v="7.8712348406000561E-3"/>
    <x v="1"/>
    <n v="3.0528237806050181E-2"/>
    <n v="7.8712348406000561E-3"/>
  </r>
  <r>
    <n v="23"/>
    <x v="22"/>
    <n v="761174"/>
    <n v="6.1674729975859819E-3"/>
    <x v="1"/>
    <n v="2.3920272504325955E-2"/>
    <n v="6.1674729975859819E-3"/>
  </r>
  <r>
    <n v="24"/>
    <x v="23"/>
    <n v="750112"/>
    <n v="6.0778422609879161E-3"/>
    <x v="1"/>
    <n v="2.3572643638333616E-2"/>
    <n v="6.0778422609879161E-3"/>
  </r>
  <r>
    <n v="25"/>
    <x v="24"/>
    <n v="711503"/>
    <n v="5.7650097615018631E-3"/>
    <x v="1"/>
    <n v="2.2359336561213902E-2"/>
    <n v="5.7650097615018631E-3"/>
  </r>
  <r>
    <n v="26"/>
    <x v="25"/>
    <n v="667922"/>
    <n v="5.4118912357668872E-3"/>
    <x v="1"/>
    <n v="2.0989781904839629E-2"/>
    <n v="5.4118912357668872E-3"/>
  </r>
  <r>
    <n v="27"/>
    <x v="26"/>
    <n v="666407"/>
    <n v="5.3996158275273218E-3"/>
    <x v="1"/>
    <n v="2.0942172274395009E-2"/>
    <n v="5.3996158275273218E-3"/>
  </r>
  <r>
    <n v="28"/>
    <x v="27"/>
    <n v="606225"/>
    <n v="4.9119863762576788E-3"/>
    <x v="1"/>
    <n v="1.9050922915043081E-2"/>
    <n v="4.9119863762576788E-3"/>
  </r>
  <r>
    <n v="29"/>
    <x v="28"/>
    <n v="604198"/>
    <n v="4.8955624472137192E-3"/>
    <x v="1"/>
    <n v="1.8987223429293085E-2"/>
    <n v="4.8955624472137192E-3"/>
  </r>
  <r>
    <n v="30"/>
    <x v="29"/>
    <n v="601163"/>
    <n v="4.870971117836108E-3"/>
    <x v="1"/>
    <n v="1.8891847040910625E-2"/>
    <n v="4.870971117836108E-3"/>
  </r>
  <r>
    <n v="31"/>
    <x v="30"/>
    <n v="561509"/>
    <n v="4.5496714225676483E-3"/>
    <x v="1"/>
    <n v="1.7645700317708648E-2"/>
    <n v="4.5496714225676483E-3"/>
  </r>
  <r>
    <n v="32"/>
    <x v="31"/>
    <n v="547693"/>
    <n v="4.4377261814865709E-3"/>
    <x v="1"/>
    <n v="1.7211525628452622E-2"/>
    <n v="4.4377261814865709E-3"/>
  </r>
  <r>
    <n v="33"/>
    <x v="32"/>
    <n v="533922"/>
    <n v="4.3261455564918179E-3"/>
    <x v="1"/>
    <n v="1.6778765086635544E-2"/>
    <n v="4.3261455564918179E-3"/>
  </r>
  <r>
    <n v="34"/>
    <x v="33"/>
    <n v="519288"/>
    <n v="4.2075724052193448E-3"/>
    <x v="1"/>
    <n v="1.6318884339489286E-2"/>
    <n v="4.2075724052193448E-3"/>
  </r>
  <r>
    <n v="35"/>
    <x v="34"/>
    <n v="511059"/>
    <n v="4.1408962769002812E-3"/>
    <x v="1"/>
    <n v="1.6060283911153453E-2"/>
    <n v="4.1408962769002812E-3"/>
  </r>
  <r>
    <n v="36"/>
    <x v="35"/>
    <n v="505364"/>
    <n v="4.0947520855310901E-3"/>
    <x v="1"/>
    <n v="1.588131569637978E-2"/>
    <n v="4.0947520855310901E-3"/>
  </r>
  <r>
    <n v="37"/>
    <x v="36"/>
    <n v="500051"/>
    <n v="4.051703079605804E-3"/>
    <x v="1"/>
    <n v="1.5714352022087853E-2"/>
    <n v="4.051703079605804E-3"/>
  </r>
  <r>
    <n v="38"/>
    <x v="37"/>
    <n v="462251"/>
    <n v="3.7454255670938811E-3"/>
    <x v="2"/>
    <n v="1.4526468173370579E-2"/>
    <n v="3.7454255670938811E-3"/>
  </r>
  <r>
    <n v="39"/>
    <x v="38"/>
    <n v="446646"/>
    <n v="3.618984810936512E-3"/>
    <x v="2"/>
    <n v="1.4036073267041663E-2"/>
    <n v="3.618984810936512E-3"/>
  </r>
  <r>
    <n v="40"/>
    <x v="39"/>
    <n v="444807"/>
    <n v="3.6040841668754163E-3"/>
    <x v="2"/>
    <n v="1.3978281775036608E-2"/>
    <n v="3.6040841668754163E-3"/>
  </r>
  <r>
    <n v="41"/>
    <x v="40"/>
    <n v="443643"/>
    <n v="3.5946527641091759E-3"/>
    <x v="2"/>
    <n v="1.3941702494615791E-2"/>
    <n v="3.5946527641091759E-3"/>
  </r>
  <r>
    <n v="42"/>
    <x v="41"/>
    <n v="417134"/>
    <n v="3.3798614789457221E-3"/>
    <x v="2"/>
    <n v="1.3108643951080178E-2"/>
    <n v="3.3798614789457221E-3"/>
  </r>
  <r>
    <n v="43"/>
    <x v="42"/>
    <n v="410495"/>
    <n v="3.3260684523434298E-3"/>
    <x v="2"/>
    <n v="1.2900010065587216E-2"/>
    <n v="3.3260684523434298E-3"/>
  </r>
  <r>
    <n v="44"/>
    <x v="43"/>
    <n v="399508"/>
    <n v="3.2370454092225699E-3"/>
    <x v="2"/>
    <n v="1.2554738111993124E-2"/>
    <n v="3.2370454092225699E-3"/>
  </r>
  <r>
    <n v="45"/>
    <x v="44"/>
    <n v="375644"/>
    <n v="3.0436854473552548E-3"/>
    <x v="2"/>
    <n v="1.1804800012369077E-2"/>
    <n v="3.0436854473552548E-3"/>
  </r>
  <r>
    <n v="46"/>
    <x v="45"/>
    <n v="364527"/>
    <n v="2.9536090688739042E-3"/>
    <x v="2"/>
    <n v="1.1455442743951353E-2"/>
    <n v="2.9536090688739042E-3"/>
  </r>
  <r>
    <n v="47"/>
    <x v="46"/>
    <n v="363299"/>
    <n v="2.9436591010071149E-3"/>
    <x v="2"/>
    <n v="1.1416852231617364E-2"/>
    <n v="2.9436591010071149E-3"/>
  </r>
  <r>
    <n v="48"/>
    <x v="47"/>
    <n v="335534"/>
    <n v="2.7186909757453814E-3"/>
    <x v="2"/>
    <n v="1.0544323261785749E-2"/>
    <n v="2.7186909757453814E-3"/>
  </r>
  <r>
    <n v="49"/>
    <x v="48"/>
    <n v="334341"/>
    <n v="2.7090245981679548E-3"/>
    <x v="2"/>
    <n v="1.0506832641904275E-2"/>
    <n v="2.7090245981679548E-3"/>
  </r>
  <r>
    <n v="50"/>
    <x v="49"/>
    <n v="326608"/>
    <n v="2.6463673493781481E-3"/>
    <x v="2"/>
    <n v="1.0263819260895526E-2"/>
    <n v="2.6463673493781481E-3"/>
  </r>
  <r>
    <n v="51"/>
    <x v="50"/>
    <n v="319770"/>
    <n v="2.5909619094163353E-3"/>
    <x v="2"/>
    <n v="1.0048931701172546E-2"/>
    <n v="2.5909619094163353E-3"/>
  </r>
  <r>
    <n v="52"/>
    <x v="51"/>
    <n v="304838"/>
    <n v="2.4699741893944296E-3"/>
    <x v="2"/>
    <n v="9.5796861554305786E-3"/>
    <n v="2.4699741893944296E-3"/>
  </r>
  <r>
    <n v="53"/>
    <x v="52"/>
    <n v="284984"/>
    <n v="2.3091055721084055E-3"/>
    <x v="2"/>
    <n v="8.9557643053662216E-3"/>
    <n v="2.3091055721084055E-3"/>
  </r>
  <r>
    <n v="54"/>
    <x v="53"/>
    <n v="280553"/>
    <n v="2.2732030414750635E-3"/>
    <x v="2"/>
    <n v="8.8165179208776964E-3"/>
    <n v="2.2732030414750635E-3"/>
  </r>
  <r>
    <n v="55"/>
    <x v="54"/>
    <n v="273912"/>
    <n v="2.2193938097133789E-3"/>
    <x v="2"/>
    <n v="8.6078211843874479E-3"/>
    <n v="2.2193938097133789E-3"/>
  </r>
  <r>
    <n v="56"/>
    <x v="55"/>
    <n v="269916"/>
    <n v="2.1870159012478329E-3"/>
    <x v="2"/>
    <n v="8.4822448918087639E-3"/>
    <n v="2.1870159012478329E-3"/>
  </r>
  <r>
    <n v="57"/>
    <x v="56"/>
    <n v="239142"/>
    <n v="1.9376671136805868E-3"/>
    <x v="2"/>
    <n v="7.5151565965594167E-3"/>
    <n v="1.9376671136805868E-3"/>
  </r>
  <r>
    <n v="58"/>
    <x v="57"/>
    <n v="224259"/>
    <n v="1.8170764200637892E-3"/>
    <x v="2"/>
    <n v="7.0474509002509738E-3"/>
    <n v="1.8170764200637892E-3"/>
  </r>
  <r>
    <n v="59"/>
    <x v="58"/>
    <n v="196121"/>
    <n v="1.5890860325754169E-3"/>
    <x v="2"/>
    <n v="6.1632002194254021E-3"/>
    <n v="1.5890860325754169E-3"/>
  </r>
  <r>
    <n v="60"/>
    <x v="59"/>
    <n v="167730"/>
    <n v="1.3590456924239356E-3"/>
    <x v="2"/>
    <n v="5.2709988874430711E-3"/>
    <n v="1.3590456924239356E-3"/>
  </r>
  <r>
    <n v="61"/>
    <x v="60"/>
    <n v="162895"/>
    <n v="1.3198697195933762E-3"/>
    <x v="2"/>
    <n v="5.1190566015026483E-3"/>
    <n v="1.3198697195933762E-3"/>
  </r>
  <r>
    <n v="62"/>
    <x v="61"/>
    <n v="159199"/>
    <n v="1.289922585036655E-3"/>
    <x v="2"/>
    <n v="5.0029079585169594E-3"/>
    <n v="1.289922585036655E-3"/>
  </r>
  <r>
    <n v="63"/>
    <x v="62"/>
    <n v="142203"/>
    <n v="1.152211140522035E-3"/>
    <x v="2"/>
    <n v="4.4688001835751926E-3"/>
    <n v="1.152211140522035E-3"/>
  </r>
  <r>
    <n v="64"/>
    <x v="63"/>
    <n v="140871"/>
    <n v="1.1414185043668529E-3"/>
    <x v="2"/>
    <n v="4.4269414193822982E-3"/>
    <n v="1.1414185043668529E-3"/>
  </r>
  <r>
    <n v="65"/>
    <x v="64"/>
    <n v="138340"/>
    <n v="1.1209108751560678E-3"/>
    <x v="2"/>
    <n v="4.3474034823160704E-3"/>
    <n v="1.1209108751560678E-3"/>
  </r>
  <r>
    <n v="66"/>
    <x v="65"/>
    <n v="134711"/>
    <n v="1.091506613438984E-3"/>
    <x v="2"/>
    <n v="4.2333603477394842E-3"/>
    <n v="1.091506613438984E-3"/>
  </r>
  <r>
    <n v="67"/>
    <x v="66"/>
    <n v="129466"/>
    <n v="1.0490085829330308E-3"/>
    <x v="2"/>
    <n v="4.0685336073553015E-3"/>
    <n v="1.0490085829330308E-3"/>
  </r>
  <r>
    <n v="68"/>
    <x v="67"/>
    <n v="129192"/>
    <n v="1.0467884760963042E-3"/>
    <x v="2"/>
    <n v="4.0599230207270329E-3"/>
    <n v="1.0467884760963042E-3"/>
  </r>
  <r>
    <n v="69"/>
    <x v="68"/>
    <n v="125744"/>
    <n v="1.0188507813042114E-3"/>
    <x v="2"/>
    <n v="3.9515679014048861E-3"/>
    <n v="1.0188507813042114E-3"/>
  </r>
  <r>
    <n v="70"/>
    <x v="69"/>
    <n v="113494"/>
    <n v="9.1959418002719934E-4"/>
    <x v="2"/>
    <n v="3.5666055430242888E-3"/>
    <n v="9.1959418002719934E-4"/>
  </r>
  <r>
    <n v="71"/>
    <x v="70"/>
    <n v="113132"/>
    <n v="9.1666104617721747E-4"/>
    <x v="2"/>
    <n v="3.555229512515409E-3"/>
    <n v="9.1666104617721747E-4"/>
  </r>
  <r>
    <n v="72"/>
    <x v="71"/>
    <n v="112108"/>
    <n v="9.0836400456842891E-4"/>
    <x v="2"/>
    <n v="3.5230498019046554E-3"/>
    <n v="9.0836400456842891E-4"/>
  </r>
  <r>
    <n v="73"/>
    <x v="72"/>
    <n v="111446"/>
    <n v="9.0300009680962222E-4"/>
    <x v="2"/>
    <n v="3.5022461218027815E-3"/>
    <n v="9.0300009680962222E-4"/>
  </r>
  <r>
    <n v="74"/>
    <x v="73"/>
    <n v="109855"/>
    <n v="8.9010889251315477E-4"/>
    <x v="2"/>
    <n v="3.4522481534612686E-3"/>
    <n v="8.9010889251315477E-4"/>
  </r>
  <r>
    <n v="75"/>
    <x v="74"/>
    <n v="109135"/>
    <n v="8.8427503513197525E-4"/>
    <x v="2"/>
    <n v="3.4296217944380829E-3"/>
    <n v="8.8427503513197525E-4"/>
  </r>
  <r>
    <n v="76"/>
    <x v="75"/>
    <n v="108913"/>
    <n v="8.8247626243944494E-4"/>
    <x v="2"/>
    <n v="3.4226453337392669E-3"/>
    <n v="8.8247626243944494E-4"/>
  </r>
  <r>
    <n v="77"/>
    <x v="76"/>
    <n v="107758"/>
    <n v="8.7311778289046954E-4"/>
    <x v="2"/>
    <n v="3.3863488828062391E-3"/>
    <n v="8.7311778289046954E-4"/>
  </r>
  <r>
    <n v="78"/>
    <x v="77"/>
    <n v="104651"/>
    <n v="8.4794306777474088E-4"/>
    <x v="2"/>
    <n v="3.2887098585214622E-3"/>
    <n v="8.4794306777474088E-4"/>
  </r>
  <r>
    <n v="79"/>
    <x v="78"/>
    <n v="95905"/>
    <n v="7.7707790575280245E-4"/>
    <x v="3"/>
    <n v="3.0138624473870375E-3"/>
    <n v="7.7707790575280245E-4"/>
  </r>
  <r>
    <n v="80"/>
    <x v="79"/>
    <n v="95349"/>
    <n v="7.7257287144178051E-4"/>
    <x v="3"/>
    <n v="2.9963898701413547E-3"/>
    <n v="7.7257287144178051E-4"/>
  </r>
  <r>
    <n v="81"/>
    <x v="80"/>
    <n v="90640"/>
    <n v="7.3441782365292745E-4"/>
    <x v="3"/>
    <n v="2.8484071970299885E-3"/>
    <n v="7.3441782365292745E-4"/>
  </r>
  <r>
    <n v="82"/>
    <x v="81"/>
    <n v="90556"/>
    <n v="7.337372069584566E-4"/>
    <x v="3"/>
    <n v="2.8457674551439502E-3"/>
    <n v="7.337372069584566E-4"/>
  </r>
  <r>
    <n v="83"/>
    <x v="82"/>
    <n v="88126"/>
    <n v="7.140479382969758E-4"/>
    <x v="3"/>
    <n v="2.7694034934406973E-3"/>
    <n v="7.140479382969758E-4"/>
  </r>
  <r>
    <n v="84"/>
    <x v="83"/>
    <n v="85738"/>
    <n v="6.946989779827306E-4"/>
    <x v="3"/>
    <n v="2.6943594026804631E-3"/>
    <n v="6.946989779827306E-4"/>
  </r>
  <r>
    <n v="85"/>
    <x v="84"/>
    <n v="80024"/>
    <n v="6.4840083759931449E-4"/>
    <x v="3"/>
    <n v="2.5147941034325662E-3"/>
    <n v="6.4840083759931449E-4"/>
  </r>
  <r>
    <n v="86"/>
    <x v="85"/>
    <n v="79916"/>
    <n v="6.4752575899213762E-4"/>
    <x v="3"/>
    <n v="2.5114001495790883E-3"/>
    <n v="6.4752575899213762E-4"/>
  </r>
  <r>
    <n v="87"/>
    <x v="86"/>
    <n v="76897"/>
    <n v="6.2306407088966425E-4"/>
    <x v="3"/>
    <n v="2.4165265691749233E-3"/>
    <n v="6.2306407088966425E-4"/>
  </r>
  <r>
    <n v="88"/>
    <x v="87"/>
    <n v="72456"/>
    <n v="5.8708051445936142E-4"/>
    <x v="3"/>
    <n v="2.2769659296999652E-3"/>
    <n v="5.8708051445936142E-4"/>
  </r>
  <r>
    <n v="89"/>
    <x v="88"/>
    <n v="67517"/>
    <n v="5.4706187334040938E-4"/>
    <x v="3"/>
    <n v="2.1217553919006373E-3"/>
    <n v="5.4706187334040938E-4"/>
  </r>
  <r>
    <n v="90"/>
    <x v="89"/>
    <n v="65171"/>
    <n v="5.2805322137339955E-4"/>
    <x v="3"/>
    <n v="2.0480311720834222E-3"/>
    <n v="5.2805322137339955E-4"/>
  </r>
  <r>
    <n v="91"/>
    <x v="90"/>
    <n v="60434"/>
    <n v="4.8967130135305623E-4"/>
    <x v="3"/>
    <n v="1.8991685850100434E-3"/>
    <n v="4.8967130135305623E-4"/>
  </r>
  <r>
    <n v="92"/>
    <x v="91"/>
    <n v="59288"/>
    <n v="4.8038574502134562E-4"/>
    <x v="3"/>
    <n v="1.8631549635648055E-3"/>
    <n v="4.8038574502134562E-4"/>
  </r>
  <r>
    <n v="93"/>
    <x v="92"/>
    <n v="57086"/>
    <n v="4.6254386453057169E-4"/>
    <x v="3"/>
    <n v="1.7939560155522279E-3"/>
    <n v="4.6254386453057169E-4"/>
  </r>
  <r>
    <n v="94"/>
    <x v="93"/>
    <n v="55434"/>
    <n v="4.4915840287264324E-4"/>
    <x v="3"/>
    <n v="1.7420410917934729E-3"/>
    <n v="4.4915840287264324E-4"/>
  </r>
  <r>
    <n v="95"/>
    <x v="94"/>
    <n v="54935"/>
    <n v="4.4511521560429803E-4"/>
    <x v="3"/>
    <n v="1.7263597679704594E-3"/>
    <n v="4.4511521560429803E-4"/>
  </r>
  <r>
    <n v="96"/>
    <x v="95"/>
    <n v="52248"/>
    <n v="4.2334358396092407E-4"/>
    <x v="3"/>
    <n v="1.6419194531158744E-3"/>
    <n v="4.2334358396092407E-4"/>
  </r>
  <r>
    <n v="97"/>
    <x v="96"/>
    <n v="51669"/>
    <n v="4.1865219031689223E-4"/>
    <x v="3"/>
    <n v="1.6237240894013956E-3"/>
    <n v="4.1865219031689223E-4"/>
  </r>
  <r>
    <n v="98"/>
    <x v="97"/>
    <n v="51506"/>
    <n v="4.1733146982643075E-4"/>
    <x v="3"/>
    <n v="1.6186017331225352E-3"/>
    <n v="4.1733146982643075E-4"/>
  </r>
  <r>
    <n v="99"/>
    <x v="98"/>
    <n v="51036"/>
    <n v="4.1352325736927195E-4"/>
    <x v="3"/>
    <n v="1.6038317487601776E-3"/>
    <n v="4.1352325736927195E-4"/>
  </r>
  <r>
    <n v="100"/>
    <x v="99"/>
    <n v="49194"/>
    <n v="3.9859830556908778E-4"/>
    <x v="3"/>
    <n v="1.5459459802591932E-3"/>
    <n v="3.9859830556908778E-4"/>
  </r>
  <r>
    <n v="101"/>
    <x v="100"/>
    <n v="49164"/>
    <n v="3.9835522817820531E-4"/>
    <x v="3"/>
    <n v="1.5450032152998937E-3"/>
    <n v="3.9835522817820531E-4"/>
  </r>
  <r>
    <n v="102"/>
    <x v="101"/>
    <n v="49112"/>
    <n v="3.9793389403400899E-4"/>
    <x v="3"/>
    <n v="1.5433690893704413E-3"/>
    <n v="3.9793389403400899E-4"/>
  </r>
  <r>
    <n v="103"/>
    <x v="102"/>
    <n v="43404"/>
    <n v="3.5168436912876949E-4"/>
    <x v="3"/>
    <n v="1.3639923431144046E-3"/>
    <n v="3.5168436912876949E-4"/>
  </r>
  <r>
    <n v="104"/>
    <x v="103"/>
    <n v="43158"/>
    <n v="3.4969113452353316E-4"/>
    <x v="3"/>
    <n v="1.3562616704481494E-3"/>
    <n v="3.4969113452353316E-4"/>
  </r>
  <r>
    <n v="105"/>
    <x v="104"/>
    <n v="40821"/>
    <n v="3.3075540577378812E-4"/>
    <x v="3"/>
    <n v="1.2828202801187243E-3"/>
    <n v="3.3075540577378812E-4"/>
  </r>
  <r>
    <n v="106"/>
    <x v="105"/>
    <n v="40177"/>
    <n v="3.2553734444951089E-4"/>
    <x v="3"/>
    <n v="1.2625822589924301E-3"/>
    <n v="3.2553734444951089E-4"/>
  </r>
  <r>
    <n v="107"/>
    <x v="106"/>
    <n v="39986"/>
    <n v="3.2398975172755911E-4"/>
    <x v="3"/>
    <n v="1.256579988751557E-3"/>
    <n v="3.2398975172755911E-4"/>
  </r>
  <r>
    <n v="108"/>
    <x v="107"/>
    <n v="39474"/>
    <n v="3.1984123092316483E-4"/>
    <x v="3"/>
    <n v="1.2404901334461802E-3"/>
    <n v="3.1984123092316483E-4"/>
  </r>
  <r>
    <n v="109"/>
    <x v="108"/>
    <n v="37981"/>
    <n v="3.0774407943691347E-4"/>
    <x v="3"/>
    <n v="1.1935718639717124E-3"/>
    <n v="3.0774407943691347E-4"/>
  </r>
  <r>
    <n v="110"/>
    <x v="109"/>
    <n v="36239"/>
    <n v="2.9362938560633761E-4"/>
    <x v="3"/>
    <n v="1.1388286453350592E-3"/>
    <n v="2.9362938560633761E-4"/>
  </r>
  <r>
    <n v="111"/>
    <x v="110"/>
    <n v="33945"/>
    <n v="2.750420677835241E-4"/>
    <x v="3"/>
    <n v="1.0667385514472967E-3"/>
    <n v="2.750420677835241E-4"/>
  </r>
  <r>
    <n v="112"/>
    <x v="111"/>
    <n v="33463"/>
    <n v="2.7113662437001229E-4"/>
    <x v="3"/>
    <n v="1.0515914611012192E-3"/>
    <n v="2.7113662437001229E-4"/>
  </r>
  <r>
    <n v="113"/>
    <x v="112"/>
    <n v="32411"/>
    <n v="2.6261271052973337E-4"/>
    <x v="3"/>
    <n v="1.0185318365284529E-3"/>
    <n v="2.6261271052973337E-4"/>
  </r>
  <r>
    <n v="114"/>
    <x v="113"/>
    <n v="31097"/>
    <n v="2.5196592080908083E-4"/>
    <x v="3"/>
    <n v="9.7723873131113801E-4"/>
    <n v="2.5196592080908083E-4"/>
  </r>
  <r>
    <n v="115"/>
    <x v="114"/>
    <n v="30922"/>
    <n v="2.5054796936226634E-4"/>
    <x v="3"/>
    <n v="9.7173926904855817E-4"/>
    <n v="2.5054796936226634E-4"/>
  </r>
  <r>
    <n v="116"/>
    <x v="115"/>
    <n v="30705"/>
    <n v="2.4878970956821643E-4"/>
    <x v="3"/>
    <n v="9.6491993584295896E-4"/>
    <n v="2.4878970956821643E-4"/>
  </r>
  <r>
    <n v="117"/>
    <x v="116"/>
    <n v="30437"/>
    <n v="2.4661821820966631E-4"/>
    <x v="3"/>
    <n v="9.5649790220655084E-4"/>
    <n v="2.4661821820966631E-4"/>
  </r>
  <r>
    <n v="118"/>
    <x v="117"/>
    <n v="29082"/>
    <n v="2.3563922272147437E-4"/>
    <x v="3"/>
    <n v="9.1391635154486025E-4"/>
    <n v="2.3563922272147437E-4"/>
  </r>
  <r>
    <n v="119"/>
    <x v="118"/>
    <n v="28478"/>
    <n v="2.3074526458504048E-4"/>
    <x v="3"/>
    <n v="8.9493535036429847E-4"/>
    <n v="2.3074526458504048E-4"/>
  </r>
  <r>
    <n v="120"/>
    <x v="119"/>
    <n v="27486"/>
    <n v="2.2270750552652653E-4"/>
    <x v="3"/>
    <n v="8.6376125571013091E-4"/>
    <n v="2.2270750552652653E-4"/>
  </r>
  <r>
    <n v="121"/>
    <x v="120"/>
    <n v="27453"/>
    <n v="2.2244012039655581E-4"/>
    <x v="3"/>
    <n v="8.6272421425490162E-4"/>
    <n v="2.2244012039655581E-4"/>
  </r>
  <r>
    <n v="122"/>
    <x v="121"/>
    <n v="26758"/>
    <n v="2.1680882750777839E-4"/>
    <x v="3"/>
    <n v="8.4088349269779831E-4"/>
    <n v="2.1680882750777839E-4"/>
  </r>
  <r>
    <n v="123"/>
    <x v="122"/>
    <n v="26520"/>
    <n v="2.1488041354011074E-4"/>
    <x v="3"/>
    <n v="8.3340422402068952E-4"/>
    <n v="2.1488041354011074E-4"/>
  </r>
  <r>
    <n v="124"/>
    <x v="123"/>
    <n v="26512"/>
    <n v="2.1481559290254207E-4"/>
    <x v="3"/>
    <n v="8.3315282003154298E-4"/>
    <n v="2.1481559290254207E-4"/>
  </r>
  <r>
    <n v="125"/>
    <x v="124"/>
    <n v="26110"/>
    <n v="2.1155835586471685E-4"/>
    <x v="3"/>
    <n v="8.2051976957693074E-4"/>
    <n v="2.1155835586471685E-4"/>
  </r>
  <r>
    <n v="126"/>
    <x v="125"/>
    <n v="24132"/>
    <n v="1.9553145322586546E-4"/>
    <x v="3"/>
    <n v="7.5836013326045554E-4"/>
    <n v="1.9553145322586546E-4"/>
  </r>
  <r>
    <n v="127"/>
    <x v="126"/>
    <n v="23556"/>
    <n v="1.908643673209219E-4"/>
    <x v="3"/>
    <n v="7.4025904604190656E-4"/>
    <n v="1.908643673209219E-4"/>
  </r>
  <r>
    <n v="128"/>
    <x v="127"/>
    <n v="22726"/>
    <n v="1.8413922617317334E-4"/>
    <x v="3"/>
    <n v="7.1417588216795592E-4"/>
    <n v="1.8413922617317334E-4"/>
  </r>
  <r>
    <n v="129"/>
    <x v="128"/>
    <n v="21860"/>
    <n v="1.7712239215636577E-4"/>
    <x v="3"/>
    <n v="6.8696140034284594E-4"/>
    <n v="1.7712239215636577E-4"/>
  </r>
  <r>
    <n v="130"/>
    <x v="129"/>
    <n v="21563"/>
    <n v="1.7471592598662926E-4"/>
    <x v="3"/>
    <n v="6.7762802724578158E-4"/>
    <n v="1.7471592598662926E-4"/>
  </r>
  <r>
    <n v="131"/>
    <x v="130"/>
    <n v="21091"/>
    <n v="1.7089150837007827E-4"/>
    <x v="3"/>
    <n v="6.6279519188613739E-4"/>
    <n v="1.7089150837007827E-4"/>
  </r>
  <r>
    <n v="132"/>
    <x v="131"/>
    <n v="21024"/>
    <n v="1.7034863553044074E-4"/>
    <x v="3"/>
    <n v="6.6068968347703528E-4"/>
    <n v="1.7034863553044074E-4"/>
  </r>
  <r>
    <n v="133"/>
    <x v="132"/>
    <n v="20751"/>
    <n v="1.6813663127341016E-4"/>
    <x v="3"/>
    <n v="6.5211052234741057E-4"/>
    <n v="1.6813663127341016E-4"/>
  </r>
  <r>
    <n v="134"/>
    <x v="133"/>
    <n v="20708"/>
    <n v="1.6778822034647863E-4"/>
    <x v="3"/>
    <n v="6.507592259057481E-4"/>
    <n v="1.6778822034647863E-4"/>
  </r>
  <r>
    <n v="135"/>
    <x v="134"/>
    <n v="18941"/>
    <n v="1.5347096202350066E-4"/>
    <x v="3"/>
    <n v="5.9523036980301208E-4"/>
    <n v="1.5347096202350066E-4"/>
  </r>
  <r>
    <n v="136"/>
    <x v="135"/>
    <n v="17855"/>
    <n v="1.4467156047355493E-4"/>
    <x v="3"/>
    <n v="5.6110227827637304E-4"/>
    <n v="1.4467156047355493E-4"/>
  </r>
  <r>
    <n v="137"/>
    <x v="136"/>
    <n v="17781"/>
    <n v="1.4407196957604484E-4"/>
    <x v="3"/>
    <n v="5.587767913767677E-4"/>
    <n v="1.4407196957604484E-4"/>
  </r>
  <r>
    <n v="138"/>
    <x v="137"/>
    <n v="17240"/>
    <n v="1.3968847396046415E-4"/>
    <x v="3"/>
    <n v="5.4177559661073486E-4"/>
    <n v="1.3968847396046415E-4"/>
  </r>
  <r>
    <n v="139"/>
    <x v="138"/>
    <n v="16952"/>
    <n v="1.3735493100799237E-4"/>
    <x v="3"/>
    <n v="5.3272505300146038E-4"/>
    <n v="1.3735493100799237E-4"/>
  </r>
  <r>
    <n v="140"/>
    <x v="139"/>
    <n v="16841"/>
    <n v="1.3645554466172719E-4"/>
    <x v="3"/>
    <n v="5.2923682265205248E-4"/>
    <n v="1.3645554466172719E-4"/>
  </r>
  <r>
    <n v="141"/>
    <x v="140"/>
    <n v="16756"/>
    <n v="1.3576682538756017E-4"/>
    <x v="3"/>
    <n v="5.2656565526737085E-4"/>
    <n v="1.3576682538756017E-4"/>
  </r>
  <r>
    <n v="142"/>
    <x v="141"/>
    <n v="16457"/>
    <n v="1.3334415405843146E-4"/>
    <x v="3"/>
    <n v="5.1716943117301986E-4"/>
    <n v="1.3334415405843146E-4"/>
  </r>
  <r>
    <n v="143"/>
    <x v="142"/>
    <n v="16100"/>
    <n v="1.3045153310692998E-4"/>
    <x v="3"/>
    <n v="5.0595052815735674E-4"/>
    <n v="1.3045153310692998E-4"/>
  </r>
  <r>
    <n v="144"/>
    <x v="143"/>
    <n v="15472"/>
    <n v="1.253631130577901E-4"/>
    <x v="3"/>
    <n v="4.8621531500935553E-4"/>
    <n v="1.253631130577901E-4"/>
  </r>
  <r>
    <n v="145"/>
    <x v="144"/>
    <n v="14103"/>
    <n v="1.1427068145385301E-4"/>
    <x v="3"/>
    <n v="4.4319380736665854E-4"/>
    <n v="1.1427068145385301E-4"/>
  </r>
  <r>
    <n v="146"/>
    <x v="145"/>
    <n v="14097"/>
    <n v="1.1422206597567651E-4"/>
    <x v="3"/>
    <n v="4.4300525437479868E-4"/>
    <n v="1.1422206597567651E-4"/>
  </r>
  <r>
    <n v="147"/>
    <x v="146"/>
    <n v="13912"/>
    <n v="1.1272308873190123E-4"/>
    <x v="3"/>
    <n v="4.3719153712578555E-4"/>
    <n v="1.1272308873190123E-4"/>
  </r>
  <r>
    <n v="148"/>
    <x v="147"/>
    <n v="12854"/>
    <n v="1.0415055941344583E-4"/>
    <x v="3"/>
    <n v="4.0394335956115925E-4"/>
    <n v="1.0415055941344583E-4"/>
  </r>
  <r>
    <n v="149"/>
    <x v="148"/>
    <n v="12176"/>
    <n v="9.8657010379501824E-5"/>
    <x v="3"/>
    <n v="3.826368714809923E-4"/>
    <n v="9.8657010379501824E-5"/>
  </r>
  <r>
    <n v="150"/>
    <x v="149"/>
    <n v="10229"/>
    <n v="8.2881287711228981E-5"/>
    <x v="3"/>
    <n v="3.214514256224598E-4"/>
    <n v="8.2881287711228981E-5"/>
  </r>
  <r>
    <n v="151"/>
    <x v="150"/>
    <n v="10116"/>
    <n v="8.1965696205571646E-5"/>
    <x v="3"/>
    <n v="3.1790034427576526E-4"/>
    <n v="8.1965696205571646E-5"/>
  </r>
  <r>
    <n v="152"/>
    <x v="151"/>
    <n v="9302"/>
    <n v="7.5370196332960406E-5"/>
    <x v="3"/>
    <n v="2.9231998838010761E-4"/>
    <n v="7.5370196332960406E-5"/>
  </r>
  <r>
    <n v="153"/>
    <x v="152"/>
    <n v="9212"/>
    <n v="7.464096416031298E-5"/>
    <x v="3"/>
    <n v="2.8949169350220934E-4"/>
    <n v="7.464096416031298E-5"/>
  </r>
  <r>
    <n v="154"/>
    <x v="153"/>
    <n v="8221"/>
    <n v="6.6611307681495113E-5"/>
    <x v="3"/>
    <n v="2.583490243466851E-4"/>
    <n v="6.6611307681495113E-5"/>
  </r>
  <r>
    <n v="155"/>
    <x v="154"/>
    <n v="7944"/>
    <n v="6.4366893105680231E-5"/>
    <x v="3"/>
    <n v="2.4964416122248711E-4"/>
    <n v="6.4366893105680231E-5"/>
  </r>
  <r>
    <n v="156"/>
    <x v="155"/>
    <n v="6696"/>
    <n v="5.4254873644969139E-5"/>
    <x v="3"/>
    <n v="2.1042513891563112E-4"/>
    <n v="5.4254873644969139E-5"/>
  </r>
  <r>
    <n v="157"/>
    <x v="156"/>
    <n v="6033"/>
    <n v="4.8882863306466364E-5"/>
    <x v="3"/>
    <n v="1.8959003331511388E-4"/>
    <n v="4.8882863306466364E-5"/>
  </r>
  <r>
    <n v="158"/>
    <x v="157"/>
    <n v="5594"/>
    <n v="4.5325830819886105E-5"/>
    <x v="3"/>
    <n v="1.7579423941069901E-4"/>
    <n v="4.5325830819886105E-5"/>
  </r>
  <r>
    <n v="159"/>
    <x v="158"/>
    <n v="5495"/>
    <n v="4.4523675429973928E-5"/>
    <x v="3"/>
    <n v="1.726831150450109E-4"/>
    <n v="4.4523675429973928E-5"/>
  </r>
  <r>
    <n v="160"/>
    <x v="159"/>
    <n v="5003"/>
    <n v="4.0537206219501282E-5"/>
    <x v="3"/>
    <n v="1.5722176971250037E-4"/>
    <n v="4.0537206219501282E-5"/>
  </r>
  <r>
    <n v="161"/>
    <x v="160"/>
    <n v="4870"/>
    <n v="3.9459563119922297E-5"/>
    <x v="3"/>
    <n v="1.530421783929396E-4"/>
    <n v="3.9459563119922297E-5"/>
  </r>
  <r>
    <n v="162"/>
    <x v="161"/>
    <n v="4715"/>
    <n v="3.8203663267029488E-5"/>
    <x v="3"/>
    <n v="1.4817122610322591E-4"/>
    <n v="3.8203663267029488E-5"/>
  </r>
  <r>
    <n v="163"/>
    <x v="162"/>
    <n v="4471"/>
    <n v="3.6226633821185337E-5"/>
    <x v="3"/>
    <n v="1.4050340443425726E-4"/>
    <n v="3.6226633821185337E-5"/>
  </r>
  <r>
    <n v="164"/>
    <x v="163"/>
    <n v="3771"/>
    <n v="3.0554828033927509E-5"/>
    <x v="3"/>
    <n v="1.1850555538393741E-4"/>
    <n v="3.0554828033927509E-5"/>
  </r>
  <r>
    <n v="165"/>
    <x v="164"/>
    <n v="3708"/>
    <n v="3.0044365513074305E-5"/>
    <x v="3"/>
    <n v="1.1652574896940863E-4"/>
    <n v="3.0044365513074305E-5"/>
  </r>
  <r>
    <n v="166"/>
    <x v="165"/>
    <n v="3442"/>
    <n v="2.7889079313916332E-5"/>
    <x v="3"/>
    <n v="1.0816656633028708E-4"/>
    <n v="2.7889079313916332E-5"/>
  </r>
  <r>
    <n v="167"/>
    <x v="166"/>
    <n v="3138"/>
    <n v="2.5425895086307219E-5"/>
    <x v="3"/>
    <n v="9.8613214742719604E-5"/>
    <n v="2.5425895086307219E-5"/>
  </r>
  <r>
    <n v="168"/>
    <x v="167"/>
    <n v="2770"/>
    <n v="2.244414575814882E-5"/>
    <x v="3"/>
    <n v="8.7048631241980017E-5"/>
    <n v="2.244414575814882E-5"/>
  </r>
  <r>
    <n v="169"/>
    <x v="168"/>
    <n v="2764"/>
    <n v="2.2395530279972326E-5"/>
    <x v="3"/>
    <n v="8.6860078250120134E-5"/>
    <n v="2.2395530279972326E-5"/>
  </r>
  <r>
    <n v="170"/>
    <x v="169"/>
    <n v="2672"/>
    <n v="2.1650092947932724E-5"/>
    <x v="3"/>
    <n v="8.396893237493524E-5"/>
    <n v="2.1650092947932724E-5"/>
  </r>
  <r>
    <n v="171"/>
    <x v="170"/>
    <n v="2474"/>
    <n v="2.004578216810837E-5"/>
    <x v="3"/>
    <n v="7.7746683643559051E-5"/>
    <n v="2.004578216810837E-5"/>
  </r>
  <r>
    <n v="172"/>
    <x v="171"/>
    <n v="2456"/>
    <n v="1.9899935733578882E-5"/>
    <x v="3"/>
    <n v="7.7181024667979389E-5"/>
    <n v="1.9899935733578882E-5"/>
  </r>
  <r>
    <n v="173"/>
    <x v="172"/>
    <n v="2393"/>
    <n v="1.9389473212725678E-5"/>
    <x v="3"/>
    <n v="7.5201218253450605E-5"/>
    <n v="1.9389473212725678E-5"/>
  </r>
  <r>
    <n v="174"/>
    <x v="173"/>
    <n v="2249"/>
    <n v="1.8222701736489784E-5"/>
    <x v="3"/>
    <n v="7.0675946448813375E-5"/>
    <n v="1.8222701736489784E-5"/>
  </r>
  <r>
    <n v="175"/>
    <x v="174"/>
    <n v="2208"/>
    <n v="1.7890495968950395E-5"/>
    <x v="3"/>
    <n v="6.9387501004437499E-5"/>
    <n v="1.7890495968950395E-5"/>
  </r>
  <r>
    <n v="176"/>
    <x v="175"/>
    <n v="2051"/>
    <n v="1.6618390956665427E-5"/>
    <x v="3"/>
    <n v="6.4453697717437185E-5"/>
    <n v="1.6618390956665427E-5"/>
  </r>
  <r>
    <n v="177"/>
    <x v="176"/>
    <n v="1770"/>
    <n v="1.4341566062066214E-5"/>
    <x v="3"/>
    <n v="5.5623132598665933E-5"/>
    <n v="1.4341566062066214E-5"/>
  </r>
  <r>
    <n v="178"/>
    <x v="177"/>
    <n v="1524"/>
    <n v="1.2348331456829893E-5"/>
    <x v="3"/>
    <n v="4.7892459932410667E-5"/>
    <n v="1.2348331456829893E-5"/>
  </r>
  <r>
    <n v="179"/>
    <x v="178"/>
    <n v="1333"/>
    <n v="1.0800738734878115E-5"/>
    <x v="3"/>
    <n v="4.1890189691537679E-5"/>
    <n v="1.0800738734878115E-5"/>
  </r>
  <r>
    <n v="180"/>
    <x v="179"/>
    <n v="1299"/>
    <n v="1.0525251025211307E-5"/>
    <x v="3"/>
    <n v="4.0821722737664998E-5"/>
    <n v="1.0525251025211307E-5"/>
  </r>
  <r>
    <n v="181"/>
    <x v="180"/>
    <n v="1190"/>
    <n v="9.642069838338302E-6"/>
    <x v="3"/>
    <n v="3.739634338554376E-5"/>
    <n v="9.642069838338302E-6"/>
  </r>
  <r>
    <n v="182"/>
    <x v="181"/>
    <n v="1176"/>
    <n v="9.5286337225931457E-6"/>
    <x v="3"/>
    <n v="3.6956386404537365E-5"/>
    <n v="9.5286337225931457E-6"/>
  </r>
  <r>
    <n v="183"/>
    <x v="182"/>
    <n v="1125"/>
    <n v="9.1154021580929326E-6"/>
    <x v="3"/>
    <n v="3.5353685973728347E-5"/>
    <n v="9.1154021580929326E-6"/>
  </r>
  <r>
    <n v="184"/>
    <x v="183"/>
    <n v="791"/>
    <n v="6.4091405396013417E-6"/>
    <x v="3"/>
    <n v="2.4857569426861443E-5"/>
    <n v="6.4091405396013417E-6"/>
  </r>
  <r>
    <n v="185"/>
    <x v="184"/>
    <n v="616"/>
    <n v="4.9911890927868856E-6"/>
    <x v="3"/>
    <n v="1.9358107164281477E-5"/>
    <n v="4.9911890927868856E-6"/>
  </r>
  <r>
    <n v="186"/>
    <x v="185"/>
    <n v="519"/>
    <n v="4.2052388622668727E-6"/>
    <x v="3"/>
    <n v="1.6309833795880009E-5"/>
    <n v="4.2052388622668727E-6"/>
  </r>
  <r>
    <n v="187"/>
    <x v="186"/>
    <n v="362"/>
    <n v="2.9331338499819037E-6"/>
    <x v="3"/>
    <n v="1.1376030508879698E-5"/>
    <n v="2.9331338499819037E-6"/>
  </r>
  <r>
    <n v="188"/>
    <x v="187"/>
    <n v="343"/>
    <n v="2.7791848357563341E-6"/>
    <x v="3"/>
    <n v="1.0778946034656731E-5"/>
    <n v="2.7791848357563341E-6"/>
  </r>
  <r>
    <n v="189"/>
    <x v="188"/>
    <n v="332"/>
    <n v="2.6900564590994256E-6"/>
    <x v="3"/>
    <n v="1.0433265549580277E-5"/>
    <n v="2.6900564590994256E-6"/>
  </r>
  <r>
    <n v="190"/>
    <x v="189"/>
    <n v="183"/>
    <n v="1.482772084383117E-6"/>
    <x v="3"/>
    <n v="5.7508662517264772E-6"/>
    <n v="1.482772084383117E-6"/>
  </r>
  <r>
    <n v="191"/>
    <x v="190"/>
    <n v="61"/>
    <n v="4.9425736146103907E-7"/>
    <x v="3"/>
    <n v="1.9169554172421591E-6"/>
    <n v="4.9425736146103907E-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2C4180-33FF-4F11-9FF8-551C040D3E4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4:R5" firstHeaderRow="1" firstDataRow="1" firstDataCol="0"/>
  <pivotFields count="7">
    <pivotField showAll="0"/>
    <pivotField showAll="0" sortType="descending">
      <items count="205">
        <item x="112"/>
        <item x="52"/>
        <item x="161"/>
        <item x="73"/>
        <item x="171"/>
        <item x="25"/>
        <item x="117"/>
        <item x="162"/>
        <item x="13"/>
        <item x="28"/>
        <item x="84"/>
        <item x="139"/>
        <item x="99"/>
        <item x="33"/>
        <item x="154"/>
        <item x="81"/>
        <item x="22"/>
        <item x="165"/>
        <item x="120"/>
        <item x="163"/>
        <item x="92"/>
        <item x="109"/>
        <item x="133"/>
        <item x="10"/>
        <item x="141"/>
        <item x="62"/>
        <item x="115"/>
        <item x="152"/>
        <item x="97"/>
        <item x="88"/>
        <item x="9"/>
        <item x="166"/>
        <item x="164"/>
        <item x="126"/>
        <item x="46"/>
        <item x="1"/>
        <item m="1" x="191"/>
        <item x="37"/>
        <item x="176"/>
        <item x="138"/>
        <item x="74"/>
        <item x="70"/>
        <item x="103"/>
        <item m="1" x="197"/>
        <item x="41"/>
        <item x="36"/>
        <item x="159"/>
        <item x="183"/>
        <item x="64"/>
        <item x="82"/>
        <item x="65"/>
        <item x="43"/>
        <item x="108"/>
        <item x="144"/>
        <item x="98"/>
        <item x="158"/>
        <item x="68"/>
        <item x="155"/>
        <item x="47"/>
        <item x="6"/>
        <item x="127"/>
        <item x="169"/>
        <item x="105"/>
        <item m="1" x="198"/>
        <item x="2"/>
        <item x="69"/>
        <item x="51"/>
        <item x="177"/>
        <item x="66"/>
        <item x="114"/>
        <item x="168"/>
        <item x="119"/>
        <item x="113"/>
        <item x="104"/>
        <item x="38"/>
        <item m="1" x="193"/>
        <item x="55"/>
        <item x="102"/>
        <item x="3"/>
        <item x="16"/>
        <item x="44"/>
        <item x="54"/>
        <item x="23"/>
        <item x="26"/>
        <item x="7"/>
        <item x="72"/>
        <item x="125"/>
        <item x="4"/>
        <item x="91"/>
        <item x="50"/>
        <item x="63"/>
        <item x="187"/>
        <item x="145"/>
        <item x="60"/>
        <item x="129"/>
        <item x="136"/>
        <item x="95"/>
        <item x="170"/>
        <item x="157"/>
        <item x="100"/>
        <item x="150"/>
        <item x="77"/>
        <item x="76"/>
        <item m="1" x="202"/>
        <item x="94"/>
        <item m="1" x="196"/>
        <item x="130"/>
        <item x="135"/>
        <item x="35"/>
        <item x="153"/>
        <item x="118"/>
        <item x="116"/>
        <item x="188"/>
        <item x="147"/>
        <item x="140"/>
        <item x="12"/>
        <item x="185"/>
        <item m="1" x="203"/>
        <item x="131"/>
        <item m="1" x="199"/>
        <item x="122"/>
        <item x="149"/>
        <item x="58"/>
        <item x="123"/>
        <item x="89"/>
        <item x="142"/>
        <item x="189"/>
        <item x="101"/>
        <item x="17"/>
        <item x="53"/>
        <item x="128"/>
        <item x="124"/>
        <item x="48"/>
        <item x="132"/>
        <item x="31"/>
        <item x="75"/>
        <item x="42"/>
        <item x="186"/>
        <item x="78"/>
        <item x="111"/>
        <item x="96"/>
        <item x="49"/>
        <item x="32"/>
        <item x="19"/>
        <item x="45"/>
        <item x="67"/>
        <item x="56"/>
        <item x="39"/>
        <item x="8"/>
        <item x="143"/>
        <item x="180"/>
        <item x="167"/>
        <item x="179"/>
        <item x="178"/>
        <item x="172"/>
        <item x="182"/>
        <item x="18"/>
        <item x="106"/>
        <item x="71"/>
        <item x="173"/>
        <item x="151"/>
        <item x="27"/>
        <item x="59"/>
        <item x="83"/>
        <item x="175"/>
        <item x="146"/>
        <item x="40"/>
        <item x="14"/>
        <item x="156"/>
        <item x="11"/>
        <item x="107"/>
        <item x="160"/>
        <item x="24"/>
        <item x="20"/>
        <item x="21"/>
        <item m="1" x="200"/>
        <item m="1" x="192"/>
        <item x="134"/>
        <item m="1" x="201"/>
        <item x="79"/>
        <item m="1" x="195"/>
        <item x="30"/>
        <item x="174"/>
        <item x="148"/>
        <item x="184"/>
        <item x="121"/>
        <item x="90"/>
        <item x="15"/>
        <item x="86"/>
        <item x="190"/>
        <item x="87"/>
        <item x="57"/>
        <item m="1" x="194"/>
        <item x="29"/>
        <item x="5"/>
        <item x="0"/>
        <item x="80"/>
        <item x="61"/>
        <item x="181"/>
        <item x="85"/>
        <item x="34"/>
        <item x="137"/>
        <item x="110"/>
        <item x="93"/>
        <item t="default"/>
      </items>
      <autoSortScope>
        <pivotArea dataOnly="0" outline="0" fieldPosition="0">
          <references count="1">
            <reference field="4294967294" count="1" selected="0">
              <x v="0"/>
            </reference>
          </references>
        </pivotArea>
      </autoSortScope>
    </pivotField>
    <pivotField dataField="1" showAll="0"/>
    <pivotField numFmtId="10" showAll="0"/>
    <pivotField showAll="0">
      <items count="5">
        <item x="0"/>
        <item x="1"/>
        <item x="2"/>
        <item x="3"/>
        <item t="default"/>
      </items>
    </pivotField>
    <pivotField numFmtId="10" showAll="0"/>
    <pivotField numFmtId="10" showAll="0"/>
  </pivotFields>
  <rowItems count="1">
    <i/>
  </rowItems>
  <colItems count="1">
    <i/>
  </colItems>
  <dataFields count="1">
    <dataField name="Sum of GDP_USD" fld="2"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213E29-1C87-49B1-AA4D-F512FA69A71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196" firstHeaderRow="1" firstDataRow="1" firstDataCol="1"/>
  <pivotFields count="7">
    <pivotField showAll="0"/>
    <pivotField axis="axisRow" showAll="0">
      <items count="205">
        <item x="112"/>
        <item x="52"/>
        <item x="161"/>
        <item x="73"/>
        <item x="171"/>
        <item x="25"/>
        <item x="117"/>
        <item x="162"/>
        <item x="13"/>
        <item x="28"/>
        <item x="84"/>
        <item x="139"/>
        <item x="99"/>
        <item x="33"/>
        <item x="154"/>
        <item x="81"/>
        <item x="22"/>
        <item x="165"/>
        <item x="120"/>
        <item x="163"/>
        <item x="92"/>
        <item x="109"/>
        <item x="133"/>
        <item x="10"/>
        <item x="141"/>
        <item x="62"/>
        <item x="115"/>
        <item x="152"/>
        <item x="97"/>
        <item x="88"/>
        <item x="9"/>
        <item x="166"/>
        <item x="164"/>
        <item x="126"/>
        <item x="46"/>
        <item x="1"/>
        <item m="1" x="191"/>
        <item x="37"/>
        <item x="176"/>
        <item x="138"/>
        <item x="74"/>
        <item x="70"/>
        <item x="103"/>
        <item m="1" x="197"/>
        <item x="41"/>
        <item x="36"/>
        <item x="159"/>
        <item x="183"/>
        <item x="64"/>
        <item x="82"/>
        <item x="65"/>
        <item x="43"/>
        <item x="108"/>
        <item x="144"/>
        <item x="98"/>
        <item x="158"/>
        <item x="68"/>
        <item x="155"/>
        <item x="47"/>
        <item x="6"/>
        <item x="127"/>
        <item x="169"/>
        <item x="105"/>
        <item m="1" x="198"/>
        <item x="2"/>
        <item x="69"/>
        <item x="51"/>
        <item x="177"/>
        <item x="66"/>
        <item x="114"/>
        <item x="168"/>
        <item x="119"/>
        <item x="113"/>
        <item x="104"/>
        <item x="38"/>
        <item m="1" x="193"/>
        <item x="55"/>
        <item x="102"/>
        <item x="3"/>
        <item x="16"/>
        <item x="44"/>
        <item x="54"/>
        <item x="23"/>
        <item x="26"/>
        <item x="7"/>
        <item x="72"/>
        <item x="125"/>
        <item x="4"/>
        <item x="91"/>
        <item x="50"/>
        <item x="63"/>
        <item x="187"/>
        <item x="145"/>
        <item x="60"/>
        <item x="129"/>
        <item x="136"/>
        <item x="95"/>
        <item x="170"/>
        <item x="157"/>
        <item x="100"/>
        <item x="150"/>
        <item x="77"/>
        <item x="76"/>
        <item m="1" x="202"/>
        <item x="94"/>
        <item m="1" x="196"/>
        <item x="130"/>
        <item x="135"/>
        <item x="35"/>
        <item x="153"/>
        <item x="118"/>
        <item x="116"/>
        <item x="188"/>
        <item x="147"/>
        <item x="140"/>
        <item x="12"/>
        <item x="185"/>
        <item m="1" x="203"/>
        <item x="131"/>
        <item m="1" x="199"/>
        <item x="122"/>
        <item x="149"/>
        <item x="58"/>
        <item x="123"/>
        <item x="89"/>
        <item x="142"/>
        <item x="189"/>
        <item x="101"/>
        <item x="17"/>
        <item x="53"/>
        <item x="128"/>
        <item x="124"/>
        <item x="48"/>
        <item x="132"/>
        <item x="31"/>
        <item x="75"/>
        <item x="42"/>
        <item x="186"/>
        <item x="78"/>
        <item x="111"/>
        <item x="96"/>
        <item x="49"/>
        <item x="32"/>
        <item x="19"/>
        <item x="45"/>
        <item x="67"/>
        <item x="56"/>
        <item x="39"/>
        <item x="8"/>
        <item x="143"/>
        <item x="180"/>
        <item x="167"/>
        <item x="179"/>
        <item x="178"/>
        <item x="172"/>
        <item x="182"/>
        <item x="18"/>
        <item x="106"/>
        <item x="71"/>
        <item x="173"/>
        <item x="151"/>
        <item x="27"/>
        <item x="59"/>
        <item x="83"/>
        <item x="175"/>
        <item x="146"/>
        <item x="40"/>
        <item x="14"/>
        <item x="156"/>
        <item x="11"/>
        <item x="107"/>
        <item x="160"/>
        <item x="24"/>
        <item x="20"/>
        <item x="21"/>
        <item m="1" x="200"/>
        <item m="1" x="192"/>
        <item x="134"/>
        <item m="1" x="201"/>
        <item x="79"/>
        <item m="1" x="195"/>
        <item x="30"/>
        <item x="174"/>
        <item x="148"/>
        <item x="184"/>
        <item x="121"/>
        <item x="90"/>
        <item x="15"/>
        <item x="86"/>
        <item x="190"/>
        <item x="87"/>
        <item x="57"/>
        <item m="1" x="194"/>
        <item x="29"/>
        <item x="5"/>
        <item x="0"/>
        <item x="80"/>
        <item x="61"/>
        <item x="181"/>
        <item x="85"/>
        <item x="34"/>
        <item x="137"/>
        <item x="110"/>
        <item x="93"/>
        <item t="default"/>
      </items>
    </pivotField>
    <pivotField showAll="0"/>
    <pivotField numFmtId="10" showAll="0"/>
    <pivotField showAll="0">
      <items count="5">
        <item x="0"/>
        <item x="1"/>
        <item x="2"/>
        <item x="3"/>
        <item t="default"/>
      </items>
    </pivotField>
    <pivotField numFmtId="10" showAll="0"/>
    <pivotField dataField="1" numFmtId="10" showAll="0"/>
  </pivotFields>
  <rowFields count="1">
    <field x="1"/>
  </rowFields>
  <rowItems count="1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7"/>
    </i>
    <i>
      <x v="38"/>
    </i>
    <i>
      <x v="39"/>
    </i>
    <i>
      <x v="40"/>
    </i>
    <i>
      <x v="41"/>
    </i>
    <i>
      <x v="42"/>
    </i>
    <i>
      <x v="44"/>
    </i>
    <i>
      <x v="45"/>
    </i>
    <i>
      <x v="46"/>
    </i>
    <i>
      <x v="47"/>
    </i>
    <i>
      <x v="48"/>
    </i>
    <i>
      <x v="49"/>
    </i>
    <i>
      <x v="50"/>
    </i>
    <i>
      <x v="51"/>
    </i>
    <i>
      <x v="52"/>
    </i>
    <i>
      <x v="53"/>
    </i>
    <i>
      <x v="54"/>
    </i>
    <i>
      <x v="55"/>
    </i>
    <i>
      <x v="56"/>
    </i>
    <i>
      <x v="57"/>
    </i>
    <i>
      <x v="58"/>
    </i>
    <i>
      <x v="59"/>
    </i>
    <i>
      <x v="60"/>
    </i>
    <i>
      <x v="61"/>
    </i>
    <i>
      <x v="62"/>
    </i>
    <i>
      <x v="64"/>
    </i>
    <i>
      <x v="65"/>
    </i>
    <i>
      <x v="66"/>
    </i>
    <i>
      <x v="67"/>
    </i>
    <i>
      <x v="68"/>
    </i>
    <i>
      <x v="69"/>
    </i>
    <i>
      <x v="70"/>
    </i>
    <i>
      <x v="71"/>
    </i>
    <i>
      <x v="72"/>
    </i>
    <i>
      <x v="73"/>
    </i>
    <i>
      <x v="74"/>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4"/>
    </i>
    <i>
      <x v="106"/>
    </i>
    <i>
      <x v="107"/>
    </i>
    <i>
      <x v="108"/>
    </i>
    <i>
      <x v="109"/>
    </i>
    <i>
      <x v="110"/>
    </i>
    <i>
      <x v="111"/>
    </i>
    <i>
      <x v="112"/>
    </i>
    <i>
      <x v="113"/>
    </i>
    <i>
      <x v="114"/>
    </i>
    <i>
      <x v="115"/>
    </i>
    <i>
      <x v="116"/>
    </i>
    <i>
      <x v="118"/>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7"/>
    </i>
    <i>
      <x v="179"/>
    </i>
    <i>
      <x v="181"/>
    </i>
    <i>
      <x v="182"/>
    </i>
    <i>
      <x v="183"/>
    </i>
    <i>
      <x v="184"/>
    </i>
    <i>
      <x v="185"/>
    </i>
    <i>
      <x v="186"/>
    </i>
    <i>
      <x v="187"/>
    </i>
    <i>
      <x v="188"/>
    </i>
    <i>
      <x v="189"/>
    </i>
    <i>
      <x v="190"/>
    </i>
    <i>
      <x v="191"/>
    </i>
    <i>
      <x v="193"/>
    </i>
    <i>
      <x v="194"/>
    </i>
    <i>
      <x v="195"/>
    </i>
    <i>
      <x v="196"/>
    </i>
    <i>
      <x v="197"/>
    </i>
    <i>
      <x v="198"/>
    </i>
    <i>
      <x v="199"/>
    </i>
    <i>
      <x v="200"/>
    </i>
    <i>
      <x v="201"/>
    </i>
    <i>
      <x v="202"/>
    </i>
    <i>
      <x v="203"/>
    </i>
    <i t="grand">
      <x/>
    </i>
  </rowItems>
  <colItems count="1">
    <i/>
  </colItems>
  <dataFields count="1">
    <dataField name="Sum of Dominance_Ratio%" fld="6"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2D0F10-CBF3-4D01-9334-45356F9AE59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C15" firstHeaderRow="1" firstDataRow="1" firstDataCol="1"/>
  <pivotFields count="7">
    <pivotField showAll="0"/>
    <pivotField axis="axisRow" showAll="0" measureFilter="1" sortType="descending">
      <items count="205">
        <item x="112"/>
        <item x="52"/>
        <item x="161"/>
        <item x="73"/>
        <item x="171"/>
        <item x="25"/>
        <item x="117"/>
        <item x="162"/>
        <item x="13"/>
        <item x="28"/>
        <item x="84"/>
        <item x="139"/>
        <item x="99"/>
        <item x="33"/>
        <item x="154"/>
        <item x="81"/>
        <item x="22"/>
        <item x="165"/>
        <item x="120"/>
        <item x="163"/>
        <item x="92"/>
        <item x="109"/>
        <item x="133"/>
        <item x="10"/>
        <item x="141"/>
        <item x="62"/>
        <item x="115"/>
        <item x="152"/>
        <item x="97"/>
        <item x="88"/>
        <item x="9"/>
        <item x="166"/>
        <item x="164"/>
        <item x="126"/>
        <item x="46"/>
        <item x="1"/>
        <item m="1" x="191"/>
        <item x="37"/>
        <item x="176"/>
        <item x="138"/>
        <item x="74"/>
        <item x="70"/>
        <item x="103"/>
        <item m="1" x="197"/>
        <item x="41"/>
        <item x="36"/>
        <item x="159"/>
        <item x="183"/>
        <item x="64"/>
        <item x="82"/>
        <item x="65"/>
        <item x="43"/>
        <item x="108"/>
        <item x="144"/>
        <item x="98"/>
        <item x="158"/>
        <item x="68"/>
        <item x="155"/>
        <item x="47"/>
        <item x="6"/>
        <item x="127"/>
        <item x="169"/>
        <item x="105"/>
        <item m="1" x="198"/>
        <item x="2"/>
        <item x="69"/>
        <item x="51"/>
        <item x="177"/>
        <item x="66"/>
        <item x="114"/>
        <item x="168"/>
        <item x="119"/>
        <item x="113"/>
        <item x="104"/>
        <item x="38"/>
        <item m="1" x="193"/>
        <item x="55"/>
        <item x="102"/>
        <item x="3"/>
        <item x="16"/>
        <item x="44"/>
        <item x="54"/>
        <item x="23"/>
        <item x="26"/>
        <item x="7"/>
        <item x="72"/>
        <item x="125"/>
        <item x="4"/>
        <item x="91"/>
        <item x="50"/>
        <item x="63"/>
        <item x="187"/>
        <item x="145"/>
        <item x="60"/>
        <item x="129"/>
        <item x="136"/>
        <item x="95"/>
        <item x="170"/>
        <item x="157"/>
        <item x="100"/>
        <item x="150"/>
        <item x="77"/>
        <item x="76"/>
        <item m="1" x="202"/>
        <item x="94"/>
        <item m="1" x="196"/>
        <item x="130"/>
        <item x="135"/>
        <item x="35"/>
        <item x="153"/>
        <item x="118"/>
        <item x="116"/>
        <item x="188"/>
        <item x="147"/>
        <item x="140"/>
        <item x="12"/>
        <item x="185"/>
        <item m="1" x="203"/>
        <item x="131"/>
        <item m="1" x="199"/>
        <item x="122"/>
        <item x="149"/>
        <item x="58"/>
        <item x="123"/>
        <item x="89"/>
        <item x="142"/>
        <item x="189"/>
        <item x="101"/>
        <item x="17"/>
        <item x="53"/>
        <item x="128"/>
        <item x="124"/>
        <item x="48"/>
        <item x="132"/>
        <item x="31"/>
        <item x="75"/>
        <item x="42"/>
        <item x="186"/>
        <item x="78"/>
        <item x="111"/>
        <item x="96"/>
        <item x="49"/>
        <item x="32"/>
        <item x="19"/>
        <item x="45"/>
        <item x="67"/>
        <item x="56"/>
        <item x="39"/>
        <item x="8"/>
        <item x="143"/>
        <item x="180"/>
        <item x="167"/>
        <item x="179"/>
        <item x="178"/>
        <item x="172"/>
        <item x="182"/>
        <item x="18"/>
        <item x="106"/>
        <item x="71"/>
        <item x="173"/>
        <item x="151"/>
        <item x="27"/>
        <item x="59"/>
        <item x="83"/>
        <item x="175"/>
        <item x="146"/>
        <item x="40"/>
        <item x="14"/>
        <item x="156"/>
        <item x="11"/>
        <item x="107"/>
        <item x="160"/>
        <item x="24"/>
        <item x="20"/>
        <item x="21"/>
        <item m="1" x="200"/>
        <item m="1" x="192"/>
        <item x="134"/>
        <item m="1" x="201"/>
        <item x="79"/>
        <item m="1" x="195"/>
        <item x="30"/>
        <item x="174"/>
        <item x="148"/>
        <item x="184"/>
        <item x="121"/>
        <item x="90"/>
        <item x="15"/>
        <item x="86"/>
        <item x="190"/>
        <item x="87"/>
        <item x="57"/>
        <item m="1" x="194"/>
        <item x="29"/>
        <item x="5"/>
        <item x="0"/>
        <item x="80"/>
        <item x="61"/>
        <item x="181"/>
        <item x="85"/>
        <item x="34"/>
        <item x="137"/>
        <item x="110"/>
        <item x="93"/>
        <item t="default"/>
      </items>
      <autoSortScope>
        <pivotArea dataOnly="0" outline="0" fieldPosition="0">
          <references count="1">
            <reference field="4294967294" count="1" selected="0">
              <x v="0"/>
            </reference>
          </references>
        </pivotArea>
      </autoSortScope>
    </pivotField>
    <pivotField dataField="1" showAll="0"/>
    <pivotField numFmtId="10" showAll="0"/>
    <pivotField showAll="0">
      <items count="5">
        <item x="0"/>
        <item x="1"/>
        <item x="2"/>
        <item x="3"/>
        <item t="default"/>
      </items>
    </pivotField>
    <pivotField numFmtId="10" showAll="0"/>
    <pivotField numFmtId="10" showAll="0"/>
  </pivotFields>
  <rowFields count="1">
    <field x="1"/>
  </rowFields>
  <rowItems count="11">
    <i>
      <x v="195"/>
    </i>
    <i>
      <x v="35"/>
    </i>
    <i>
      <x v="64"/>
    </i>
    <i>
      <x v="78"/>
    </i>
    <i>
      <x v="87"/>
    </i>
    <i>
      <x v="194"/>
    </i>
    <i>
      <x v="59"/>
    </i>
    <i>
      <x v="84"/>
    </i>
    <i>
      <x v="148"/>
    </i>
    <i>
      <x v="30"/>
    </i>
    <i t="grand">
      <x/>
    </i>
  </rowItems>
  <colItems count="1">
    <i/>
  </colItems>
  <dataFields count="1">
    <dataField name="Sum of GDP_USD"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1DBFF5-11FF-4419-BE6C-1E7D7EE2955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4:G9" firstHeaderRow="1" firstDataRow="1" firstDataCol="1"/>
  <pivotFields count="7">
    <pivotField showAll="0"/>
    <pivotField showAll="0" sortType="descending">
      <items count="205">
        <item x="112"/>
        <item x="52"/>
        <item x="161"/>
        <item x="73"/>
        <item x="171"/>
        <item x="25"/>
        <item x="117"/>
        <item x="162"/>
        <item x="13"/>
        <item x="28"/>
        <item x="84"/>
        <item x="139"/>
        <item x="99"/>
        <item x="33"/>
        <item x="154"/>
        <item x="81"/>
        <item x="22"/>
        <item x="165"/>
        <item x="120"/>
        <item x="163"/>
        <item x="92"/>
        <item x="109"/>
        <item x="133"/>
        <item x="10"/>
        <item x="141"/>
        <item x="62"/>
        <item x="115"/>
        <item x="152"/>
        <item x="97"/>
        <item x="88"/>
        <item x="9"/>
        <item x="166"/>
        <item x="164"/>
        <item x="126"/>
        <item x="46"/>
        <item x="1"/>
        <item m="1" x="191"/>
        <item x="37"/>
        <item x="176"/>
        <item x="138"/>
        <item x="74"/>
        <item x="70"/>
        <item x="103"/>
        <item m="1" x="197"/>
        <item x="41"/>
        <item x="36"/>
        <item x="159"/>
        <item x="183"/>
        <item x="64"/>
        <item x="82"/>
        <item x="65"/>
        <item x="43"/>
        <item x="108"/>
        <item x="144"/>
        <item x="98"/>
        <item x="158"/>
        <item x="68"/>
        <item x="155"/>
        <item x="47"/>
        <item x="6"/>
        <item x="127"/>
        <item x="169"/>
        <item x="105"/>
        <item m="1" x="198"/>
        <item x="2"/>
        <item x="69"/>
        <item x="51"/>
        <item x="177"/>
        <item x="66"/>
        <item x="114"/>
        <item x="168"/>
        <item x="119"/>
        <item x="113"/>
        <item x="104"/>
        <item x="38"/>
        <item m="1" x="193"/>
        <item x="55"/>
        <item x="102"/>
        <item x="3"/>
        <item x="16"/>
        <item x="44"/>
        <item x="54"/>
        <item x="23"/>
        <item x="26"/>
        <item x="7"/>
        <item x="72"/>
        <item x="125"/>
        <item x="4"/>
        <item x="91"/>
        <item x="50"/>
        <item x="63"/>
        <item x="187"/>
        <item x="145"/>
        <item x="60"/>
        <item x="129"/>
        <item x="136"/>
        <item x="95"/>
        <item x="170"/>
        <item x="157"/>
        <item x="100"/>
        <item x="150"/>
        <item x="77"/>
        <item x="76"/>
        <item m="1" x="202"/>
        <item x="94"/>
        <item m="1" x="196"/>
        <item x="130"/>
        <item x="135"/>
        <item x="35"/>
        <item x="153"/>
        <item x="118"/>
        <item x="116"/>
        <item x="188"/>
        <item x="147"/>
        <item x="140"/>
        <item x="12"/>
        <item x="185"/>
        <item m="1" x="203"/>
        <item x="131"/>
        <item m="1" x="199"/>
        <item x="122"/>
        <item x="149"/>
        <item x="58"/>
        <item x="123"/>
        <item x="89"/>
        <item x="142"/>
        <item x="189"/>
        <item x="101"/>
        <item x="17"/>
        <item x="53"/>
        <item x="128"/>
        <item x="124"/>
        <item x="48"/>
        <item x="132"/>
        <item x="31"/>
        <item x="75"/>
        <item x="42"/>
        <item x="186"/>
        <item x="78"/>
        <item x="111"/>
        <item x="96"/>
        <item x="49"/>
        <item x="32"/>
        <item x="19"/>
        <item x="45"/>
        <item x="67"/>
        <item x="56"/>
        <item x="39"/>
        <item x="8"/>
        <item x="143"/>
        <item x="180"/>
        <item x="167"/>
        <item x="179"/>
        <item x="178"/>
        <item x="172"/>
        <item x="182"/>
        <item x="18"/>
        <item x="106"/>
        <item x="71"/>
        <item x="173"/>
        <item x="151"/>
        <item x="27"/>
        <item x="59"/>
        <item x="83"/>
        <item x="175"/>
        <item x="146"/>
        <item x="40"/>
        <item x="14"/>
        <item x="156"/>
        <item x="11"/>
        <item x="107"/>
        <item x="160"/>
        <item x="24"/>
        <item x="20"/>
        <item x="21"/>
        <item m="1" x="200"/>
        <item m="1" x="192"/>
        <item x="134"/>
        <item m="1" x="201"/>
        <item x="79"/>
        <item m="1" x="195"/>
        <item x="30"/>
        <item x="174"/>
        <item x="148"/>
        <item x="184"/>
        <item x="121"/>
        <item x="90"/>
        <item x="15"/>
        <item x="86"/>
        <item x="190"/>
        <item x="87"/>
        <item x="57"/>
        <item m="1" x="194"/>
        <item x="29"/>
        <item x="5"/>
        <item x="0"/>
        <item x="80"/>
        <item x="61"/>
        <item x="181"/>
        <item x="85"/>
        <item x="34"/>
        <item x="137"/>
        <item x="110"/>
        <item x="93"/>
        <item t="default"/>
      </items>
      <autoSortScope>
        <pivotArea dataOnly="0" outline="0" fieldPosition="0">
          <references count="1">
            <reference field="4294967294" count="1" selected="0">
              <x v="0"/>
            </reference>
          </references>
        </pivotArea>
      </autoSortScope>
    </pivotField>
    <pivotField dataField="1" showAll="0"/>
    <pivotField numFmtId="10" showAll="0"/>
    <pivotField axis="axisRow" showAll="0" sortType="ascending">
      <items count="5">
        <item x="0"/>
        <item x="1"/>
        <item x="2"/>
        <item x="3"/>
        <item t="default"/>
      </items>
      <autoSortScope>
        <pivotArea dataOnly="0" outline="0" fieldPosition="0">
          <references count="1">
            <reference field="4294967294" count="1" selected="0">
              <x v="0"/>
            </reference>
          </references>
        </pivotArea>
      </autoSortScope>
    </pivotField>
    <pivotField numFmtId="10" showAll="0"/>
    <pivotField numFmtId="10" showAll="0"/>
  </pivotFields>
  <rowFields count="1">
    <field x="4"/>
  </rowFields>
  <rowItems count="5">
    <i>
      <x v="3"/>
    </i>
    <i>
      <x v="2"/>
    </i>
    <i>
      <x v="1"/>
    </i>
    <i>
      <x/>
    </i>
    <i t="grand">
      <x/>
    </i>
  </rowItems>
  <colItems count="1">
    <i/>
  </colItems>
  <dataFields count="1">
    <dataField name="Sum of GDP_USD"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11F1D1-E8CC-4FE4-9ADC-9816930D251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4:K15" firstHeaderRow="1" firstDataRow="1" firstDataCol="1"/>
  <pivotFields count="7">
    <pivotField showAll="0"/>
    <pivotField axis="axisRow" showAll="0" measureFilter="1" sortType="descending">
      <items count="205">
        <item x="112"/>
        <item x="52"/>
        <item x="161"/>
        <item x="73"/>
        <item x="171"/>
        <item x="25"/>
        <item x="117"/>
        <item x="162"/>
        <item x="13"/>
        <item x="28"/>
        <item x="84"/>
        <item x="139"/>
        <item x="99"/>
        <item x="33"/>
        <item x="154"/>
        <item x="81"/>
        <item x="22"/>
        <item x="165"/>
        <item x="120"/>
        <item x="163"/>
        <item x="92"/>
        <item x="109"/>
        <item x="133"/>
        <item x="10"/>
        <item x="141"/>
        <item x="62"/>
        <item x="115"/>
        <item x="152"/>
        <item x="97"/>
        <item x="88"/>
        <item x="9"/>
        <item x="166"/>
        <item x="164"/>
        <item x="126"/>
        <item x="46"/>
        <item x="1"/>
        <item m="1" x="191"/>
        <item x="37"/>
        <item x="176"/>
        <item x="138"/>
        <item x="74"/>
        <item x="70"/>
        <item x="103"/>
        <item m="1" x="197"/>
        <item x="41"/>
        <item x="36"/>
        <item x="159"/>
        <item x="183"/>
        <item x="64"/>
        <item x="82"/>
        <item x="65"/>
        <item x="43"/>
        <item x="108"/>
        <item x="144"/>
        <item x="98"/>
        <item x="158"/>
        <item x="68"/>
        <item x="155"/>
        <item x="47"/>
        <item x="6"/>
        <item x="127"/>
        <item x="169"/>
        <item x="105"/>
        <item m="1" x="198"/>
        <item x="2"/>
        <item x="69"/>
        <item x="51"/>
        <item x="177"/>
        <item x="66"/>
        <item x="114"/>
        <item x="168"/>
        <item x="119"/>
        <item x="113"/>
        <item x="104"/>
        <item x="38"/>
        <item m="1" x="193"/>
        <item x="55"/>
        <item x="102"/>
        <item x="3"/>
        <item x="16"/>
        <item x="44"/>
        <item x="54"/>
        <item x="23"/>
        <item x="26"/>
        <item x="7"/>
        <item x="72"/>
        <item x="125"/>
        <item x="4"/>
        <item x="91"/>
        <item x="50"/>
        <item x="63"/>
        <item x="187"/>
        <item x="145"/>
        <item x="60"/>
        <item x="129"/>
        <item x="136"/>
        <item x="95"/>
        <item x="170"/>
        <item x="157"/>
        <item x="100"/>
        <item x="150"/>
        <item x="77"/>
        <item x="76"/>
        <item m="1" x="202"/>
        <item x="94"/>
        <item m="1" x="196"/>
        <item x="130"/>
        <item x="135"/>
        <item x="35"/>
        <item x="153"/>
        <item x="118"/>
        <item x="116"/>
        <item x="188"/>
        <item x="147"/>
        <item x="140"/>
        <item x="12"/>
        <item x="185"/>
        <item m="1" x="203"/>
        <item x="131"/>
        <item m="1" x="199"/>
        <item x="122"/>
        <item x="149"/>
        <item x="58"/>
        <item x="123"/>
        <item x="89"/>
        <item x="142"/>
        <item x="189"/>
        <item x="101"/>
        <item x="17"/>
        <item x="53"/>
        <item x="128"/>
        <item x="124"/>
        <item x="48"/>
        <item x="132"/>
        <item x="31"/>
        <item x="75"/>
        <item x="42"/>
        <item x="186"/>
        <item x="78"/>
        <item x="111"/>
        <item x="96"/>
        <item x="49"/>
        <item x="32"/>
        <item x="19"/>
        <item x="45"/>
        <item x="67"/>
        <item x="56"/>
        <item x="39"/>
        <item x="8"/>
        <item x="143"/>
        <item x="180"/>
        <item x="167"/>
        <item x="179"/>
        <item x="178"/>
        <item x="172"/>
        <item x="182"/>
        <item x="18"/>
        <item x="106"/>
        <item x="71"/>
        <item x="173"/>
        <item x="151"/>
        <item x="27"/>
        <item x="59"/>
        <item x="83"/>
        <item x="175"/>
        <item x="146"/>
        <item x="40"/>
        <item x="14"/>
        <item x="156"/>
        <item x="11"/>
        <item x="107"/>
        <item x="160"/>
        <item x="24"/>
        <item x="20"/>
        <item x="21"/>
        <item m="1" x="200"/>
        <item m="1" x="192"/>
        <item x="134"/>
        <item m="1" x="201"/>
        <item x="79"/>
        <item m="1" x="195"/>
        <item x="30"/>
        <item x="174"/>
        <item x="148"/>
        <item x="184"/>
        <item x="121"/>
        <item x="90"/>
        <item x="15"/>
        <item x="86"/>
        <item x="190"/>
        <item x="87"/>
        <item x="57"/>
        <item m="1" x="194"/>
        <item x="29"/>
        <item x="5"/>
        <item x="0"/>
        <item x="80"/>
        <item x="61"/>
        <item x="181"/>
        <item x="85"/>
        <item x="34"/>
        <item x="137"/>
        <item x="110"/>
        <item x="93"/>
        <item t="default"/>
      </items>
      <autoSortScope>
        <pivotArea dataOnly="0" outline="0" fieldPosition="0">
          <references count="1">
            <reference field="4294967294" count="1" selected="0">
              <x v="0"/>
            </reference>
          </references>
        </pivotArea>
      </autoSortScope>
    </pivotField>
    <pivotField showAll="0"/>
    <pivotField numFmtId="10" showAll="0"/>
    <pivotField showAll="0">
      <items count="5">
        <item x="0"/>
        <item x="1"/>
        <item x="2"/>
        <item x="3"/>
        <item t="default"/>
      </items>
    </pivotField>
    <pivotField dataField="1" numFmtId="10" showAll="0"/>
    <pivotField numFmtId="10" showAll="0"/>
  </pivotFields>
  <rowFields count="1">
    <field x="1"/>
  </rowFields>
  <rowItems count="11">
    <i>
      <x v="195"/>
    </i>
    <i>
      <x v="35"/>
    </i>
    <i>
      <x v="64"/>
    </i>
    <i>
      <x v="78"/>
    </i>
    <i>
      <x v="87"/>
    </i>
    <i>
      <x v="194"/>
    </i>
    <i>
      <x v="59"/>
    </i>
    <i>
      <x v="84"/>
    </i>
    <i>
      <x v="148"/>
    </i>
    <i>
      <x v="30"/>
    </i>
    <i t="grand">
      <x/>
    </i>
  </rowItems>
  <colItems count="1">
    <i/>
  </colItems>
  <dataFields count="1">
    <dataField name="Sum of Relative_To_Leader%" fld="5"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EA9FAA-CC35-415B-AEF6-59B7046038F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4:O9" firstHeaderRow="1" firstDataRow="1" firstDataCol="1"/>
  <pivotFields count="7">
    <pivotField showAll="0"/>
    <pivotField showAll="0">
      <items count="205">
        <item x="112"/>
        <item x="52"/>
        <item x="161"/>
        <item x="73"/>
        <item x="171"/>
        <item x="25"/>
        <item x="117"/>
        <item x="162"/>
        <item x="13"/>
        <item x="28"/>
        <item x="84"/>
        <item x="139"/>
        <item x="99"/>
        <item x="33"/>
        <item x="154"/>
        <item x="81"/>
        <item x="22"/>
        <item x="165"/>
        <item x="120"/>
        <item x="163"/>
        <item x="92"/>
        <item x="109"/>
        <item x="133"/>
        <item x="10"/>
        <item x="141"/>
        <item x="62"/>
        <item x="115"/>
        <item x="152"/>
        <item x="97"/>
        <item x="88"/>
        <item x="9"/>
        <item x="166"/>
        <item x="164"/>
        <item x="126"/>
        <item x="46"/>
        <item x="1"/>
        <item m="1" x="191"/>
        <item x="37"/>
        <item x="176"/>
        <item x="138"/>
        <item x="74"/>
        <item x="70"/>
        <item x="103"/>
        <item m="1" x="197"/>
        <item x="41"/>
        <item x="36"/>
        <item x="159"/>
        <item x="183"/>
        <item x="64"/>
        <item x="82"/>
        <item x="65"/>
        <item x="43"/>
        <item x="108"/>
        <item x="144"/>
        <item x="98"/>
        <item x="158"/>
        <item x="68"/>
        <item x="155"/>
        <item x="47"/>
        <item x="6"/>
        <item x="127"/>
        <item x="169"/>
        <item x="105"/>
        <item m="1" x="198"/>
        <item x="2"/>
        <item x="69"/>
        <item x="51"/>
        <item x="177"/>
        <item x="66"/>
        <item x="114"/>
        <item x="168"/>
        <item x="119"/>
        <item x="113"/>
        <item x="104"/>
        <item x="38"/>
        <item m="1" x="193"/>
        <item x="55"/>
        <item x="102"/>
        <item x="3"/>
        <item x="16"/>
        <item x="44"/>
        <item x="54"/>
        <item x="23"/>
        <item x="26"/>
        <item x="7"/>
        <item x="72"/>
        <item x="125"/>
        <item x="4"/>
        <item x="91"/>
        <item x="50"/>
        <item x="63"/>
        <item x="187"/>
        <item x="145"/>
        <item x="60"/>
        <item x="129"/>
        <item x="136"/>
        <item x="95"/>
        <item x="170"/>
        <item x="157"/>
        <item x="100"/>
        <item x="150"/>
        <item x="77"/>
        <item x="76"/>
        <item m="1" x="202"/>
        <item x="94"/>
        <item m="1" x="196"/>
        <item x="130"/>
        <item x="135"/>
        <item x="35"/>
        <item x="153"/>
        <item x="118"/>
        <item x="116"/>
        <item x="188"/>
        <item x="147"/>
        <item x="140"/>
        <item x="12"/>
        <item x="185"/>
        <item m="1" x="203"/>
        <item x="131"/>
        <item m="1" x="199"/>
        <item x="122"/>
        <item x="149"/>
        <item x="58"/>
        <item x="123"/>
        <item x="89"/>
        <item x="142"/>
        <item x="189"/>
        <item x="101"/>
        <item x="17"/>
        <item x="53"/>
        <item x="128"/>
        <item x="124"/>
        <item x="48"/>
        <item x="132"/>
        <item x="31"/>
        <item x="75"/>
        <item x="42"/>
        <item x="186"/>
        <item x="78"/>
        <item x="111"/>
        <item x="96"/>
        <item x="49"/>
        <item x="32"/>
        <item x="19"/>
        <item x="45"/>
        <item x="67"/>
        <item x="56"/>
        <item x="39"/>
        <item x="8"/>
        <item x="143"/>
        <item x="180"/>
        <item x="167"/>
        <item x="179"/>
        <item x="178"/>
        <item x="172"/>
        <item x="182"/>
        <item x="18"/>
        <item x="106"/>
        <item x="71"/>
        <item x="173"/>
        <item x="151"/>
        <item x="27"/>
        <item x="59"/>
        <item x="83"/>
        <item x="175"/>
        <item x="146"/>
        <item x="40"/>
        <item x="14"/>
        <item x="156"/>
        <item x="11"/>
        <item x="107"/>
        <item x="160"/>
        <item x="24"/>
        <item x="20"/>
        <item x="21"/>
        <item m="1" x="200"/>
        <item m="1" x="192"/>
        <item x="134"/>
        <item m="1" x="201"/>
        <item x="79"/>
        <item m="1" x="195"/>
        <item x="30"/>
        <item x="174"/>
        <item x="148"/>
        <item x="184"/>
        <item x="121"/>
        <item x="90"/>
        <item x="15"/>
        <item x="86"/>
        <item x="190"/>
        <item x="87"/>
        <item x="57"/>
        <item m="1" x="194"/>
        <item x="29"/>
        <item x="5"/>
        <item x="0"/>
        <item x="80"/>
        <item x="61"/>
        <item x="181"/>
        <item x="85"/>
        <item x="34"/>
        <item x="137"/>
        <item x="110"/>
        <item x="93"/>
        <item t="default"/>
      </items>
    </pivotField>
    <pivotField showAll="0"/>
    <pivotField dataField="1" numFmtId="10" showAll="0"/>
    <pivotField axis="axisRow" showAll="0">
      <items count="5">
        <item x="0"/>
        <item x="1"/>
        <item x="2"/>
        <item x="3"/>
        <item t="default"/>
      </items>
    </pivotField>
    <pivotField numFmtId="10" showAll="0"/>
    <pivotField numFmtId="10" showAll="0"/>
  </pivotFields>
  <rowFields count="1">
    <field x="4"/>
  </rowFields>
  <rowItems count="5">
    <i>
      <x/>
    </i>
    <i>
      <x v="1"/>
    </i>
    <i>
      <x v="2"/>
    </i>
    <i>
      <x v="3"/>
    </i>
    <i t="grand">
      <x/>
    </i>
  </rowItems>
  <colItems count="1">
    <i/>
  </colItems>
  <dataFields count="1">
    <dataField name="Sum of GDP_Share%" fld="3" baseField="0" baseItem="0" numFmtId="1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7FA6A7-481B-4C71-981A-D80F2808A578}" autoFormatId="16" applyNumberFormats="0" applyBorderFormats="0" applyFontFormats="0" applyPatternFormats="0" applyAlignmentFormats="0" applyWidthHeightFormats="0">
  <queryTableRefresh nextId="13" unboundColumnsLeft="1" unboundColumnsRight="4">
    <queryTableFields count="7">
      <queryTableField id="7" dataBound="0" tableColumnId="7"/>
      <queryTableField id="5" name="Country" tableColumnId="5"/>
      <queryTableField id="6" name="GDP_USD" tableColumnId="6"/>
      <queryTableField id="8" dataBound="0" tableColumnId="8"/>
      <queryTableField id="10" dataBound="0" tableColumnId="2"/>
      <queryTableField id="11" dataBound="0" tableColumnId="3"/>
      <queryTableField id="12" dataBound="0"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DP_BAND" xr10:uid="{00032010-3FFA-4C20-8B3C-E972FB9745A5}" sourceName="GDP_BAND">
  <pivotTables>
    <pivotTable tabId="6" name="PivotTable13"/>
    <pivotTable tabId="6" name="PivotTable12"/>
    <pivotTable tabId="6" name="PivotTable11"/>
    <pivotTable tabId="6" name="PivotTable10"/>
    <pivotTable tabId="6" name="PivotTable9"/>
    <pivotTable tabId="6" name="PivotTable8"/>
  </pivotTables>
  <data>
    <tabular pivotCacheId="88018311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46B3CD0-1FDA-46B6-B74E-51E0BA33CE96}" sourceName="Country">
  <pivotTables>
    <pivotTable tabId="6" name="PivotTable12"/>
    <pivotTable tabId="6" name="PivotTable11"/>
    <pivotTable tabId="6" name="PivotTable13"/>
    <pivotTable tabId="6" name="PivotTable9"/>
  </pivotTables>
  <data>
    <tabular pivotCacheId="880183116">
      <items count="204">
        <i x="112" s="1"/>
        <i x="52" s="1"/>
        <i x="161" s="1"/>
        <i x="73" s="1"/>
        <i x="171" s="1"/>
        <i x="25" s="1"/>
        <i x="117" s="1"/>
        <i x="162" s="1"/>
        <i x="13" s="1"/>
        <i x="28" s="1"/>
        <i x="84" s="1"/>
        <i x="139" s="1"/>
        <i x="99" s="1"/>
        <i x="33" s="1"/>
        <i x="154" s="1"/>
        <i x="81" s="1"/>
        <i x="22" s="1"/>
        <i x="165" s="1"/>
        <i x="120" s="1"/>
        <i x="163" s="1"/>
        <i x="92" s="1"/>
        <i x="109" s="1"/>
        <i x="133" s="1"/>
        <i x="10" s="1"/>
        <i x="141" s="1"/>
        <i x="62" s="1"/>
        <i x="115" s="1"/>
        <i x="152" s="1"/>
        <i x="97" s="1"/>
        <i x="88" s="1"/>
        <i x="9" s="1"/>
        <i x="166" s="1"/>
        <i x="164" s="1"/>
        <i x="126" s="1"/>
        <i x="46" s="1"/>
        <i x="1" s="1"/>
        <i x="37" s="1"/>
        <i x="176" s="1"/>
        <i x="138" s="1"/>
        <i x="74" s="1"/>
        <i x="70" s="1"/>
        <i x="103" s="1"/>
        <i x="41" s="1"/>
        <i x="36" s="1"/>
        <i x="159" s="1"/>
        <i x="183" s="1"/>
        <i x="64" s="1"/>
        <i x="82" s="1"/>
        <i x="65" s="1"/>
        <i x="43" s="1"/>
        <i x="108" s="1"/>
        <i x="144" s="1"/>
        <i x="98" s="1"/>
        <i x="158" s="1"/>
        <i x="68" s="1"/>
        <i x="155" s="1"/>
        <i x="47" s="1"/>
        <i x="6" s="1"/>
        <i x="127" s="1"/>
        <i x="169" s="1"/>
        <i x="105" s="1"/>
        <i x="2" s="1"/>
        <i x="69" s="1"/>
        <i x="51" s="1"/>
        <i x="177" s="1"/>
        <i x="66" s="1"/>
        <i x="114" s="1"/>
        <i x="168" s="1"/>
        <i x="119" s="1"/>
        <i x="113" s="1"/>
        <i x="104" s="1"/>
        <i x="38" s="1"/>
        <i x="55" s="1"/>
        <i x="102" s="1"/>
        <i x="3" s="1"/>
        <i x="16" s="1"/>
        <i x="44" s="1"/>
        <i x="54" s="1"/>
        <i x="23" s="1"/>
        <i x="26" s="1"/>
        <i x="7" s="1"/>
        <i x="72" s="1"/>
        <i x="125" s="1"/>
        <i x="4" s="1"/>
        <i x="91" s="1"/>
        <i x="50" s="1"/>
        <i x="63" s="1"/>
        <i x="187" s="1"/>
        <i x="145" s="1"/>
        <i x="60" s="1"/>
        <i x="129" s="1"/>
        <i x="136" s="1"/>
        <i x="95" s="1"/>
        <i x="170" s="1"/>
        <i x="157" s="1"/>
        <i x="100" s="1"/>
        <i x="150" s="1"/>
        <i x="77" s="1"/>
        <i x="76" s="1"/>
        <i x="94" s="1"/>
        <i x="130" s="1"/>
        <i x="135" s="1"/>
        <i x="35" s="1"/>
        <i x="153" s="1"/>
        <i x="118" s="1"/>
        <i x="116" s="1"/>
        <i x="188" s="1"/>
        <i x="147" s="1"/>
        <i x="140" s="1"/>
        <i x="12" s="1"/>
        <i x="185" s="1"/>
        <i x="131" s="1"/>
        <i x="122" s="1"/>
        <i x="149" s="1"/>
        <i x="58" s="1"/>
        <i x="123" s="1"/>
        <i x="89" s="1"/>
        <i x="142" s="1"/>
        <i x="189" s="1"/>
        <i x="101" s="1"/>
        <i x="17" s="1"/>
        <i x="53" s="1"/>
        <i x="128" s="1"/>
        <i x="124" s="1"/>
        <i x="48" s="1"/>
        <i x="132" s="1"/>
        <i x="31" s="1"/>
        <i x="75" s="1"/>
        <i x="42" s="1"/>
        <i x="186" s="1"/>
        <i x="78" s="1"/>
        <i x="111" s="1"/>
        <i x="96" s="1"/>
        <i x="49" s="1"/>
        <i x="32" s="1"/>
        <i x="19" s="1"/>
        <i x="45" s="1"/>
        <i x="67" s="1"/>
        <i x="56" s="1"/>
        <i x="39" s="1"/>
        <i x="8" s="1"/>
        <i x="143" s="1"/>
        <i x="180" s="1"/>
        <i x="167" s="1"/>
        <i x="179" s="1"/>
        <i x="178" s="1"/>
        <i x="172" s="1"/>
        <i x="182" s="1"/>
        <i x="18" s="1"/>
        <i x="106" s="1"/>
        <i x="71" s="1"/>
        <i x="173" s="1"/>
        <i x="151" s="1"/>
        <i x="27" s="1"/>
        <i x="59" s="1"/>
        <i x="83" s="1"/>
        <i x="175" s="1"/>
        <i x="146" s="1"/>
        <i x="40" s="1"/>
        <i x="14" s="1"/>
        <i x="156" s="1"/>
        <i x="11" s="1"/>
        <i x="107" s="1"/>
        <i x="160" s="1"/>
        <i x="24" s="1"/>
        <i x="20" s="1"/>
        <i x="21" s="1"/>
        <i x="134" s="1"/>
        <i x="79" s="1"/>
        <i x="30" s="1"/>
        <i x="174" s="1"/>
        <i x="148" s="1"/>
        <i x="184" s="1"/>
        <i x="121" s="1"/>
        <i x="90" s="1"/>
        <i x="15" s="1"/>
        <i x="86" s="1"/>
        <i x="190" s="1"/>
        <i x="87" s="1"/>
        <i x="57" s="1"/>
        <i x="29" s="1"/>
        <i x="5" s="1"/>
        <i x="0" s="1"/>
        <i x="80" s="1"/>
        <i x="61" s="1"/>
        <i x="181" s="1"/>
        <i x="85" s="1"/>
        <i x="34" s="1"/>
        <i x="137" s="1"/>
        <i x="110" s="1"/>
        <i x="93" s="1"/>
        <i x="191" s="1" nd="1"/>
        <i x="197" s="1" nd="1"/>
        <i x="198" s="1" nd="1"/>
        <i x="193" s="1" nd="1"/>
        <i x="202" s="1" nd="1"/>
        <i x="196" s="1" nd="1"/>
        <i x="203" s="1" nd="1"/>
        <i x="199" s="1" nd="1"/>
        <i x="200" s="1" nd="1"/>
        <i x="192" s="1" nd="1"/>
        <i x="201" s="1" nd="1"/>
        <i x="195" s="1" nd="1"/>
        <i x="19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DP_BAND" xr10:uid="{DCC1436F-6C2D-40C5-8692-5D49441E5926}" cache="Slicer_GDP_BAND" caption="GDP_BAND" style="SlicerStyleDark1" rowHeight="241300"/>
  <slicer name="Country" xr10:uid="{4AED0FE9-0962-422F-B77A-7E6FCB7600FB}" cache="Slicer_Country" caption="Country"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BB6EC3-19BF-43DF-B6ED-D02AFC67F6B0}" name="Country_GDP" displayName="Country_GDP" ref="A1:G192" tableType="queryTable" totalsRowShown="0">
  <autoFilter ref="A1:G192" xr:uid="{F1BB6EC3-19BF-43DF-B6ED-D02AFC67F6B0}"/>
  <tableColumns count="7">
    <tableColumn id="7" xr3:uid="{0D92E508-B671-4071-9077-F65ADB29D7B4}" uniqueName="7" name="Rank" queryTableFieldId="7" dataDxfId="11">
      <calculatedColumnFormula>_xlfn.RANK.EQ(Country_GDP[[#This Row],[GDP_USD]],Country_GDP[GDP_USD])</calculatedColumnFormula>
    </tableColumn>
    <tableColumn id="5" xr3:uid="{D3489D18-A6FF-4C3C-AAB1-9843A0E7E47D}" uniqueName="5" name="Country" queryTableFieldId="5" dataDxfId="10"/>
    <tableColumn id="6" xr3:uid="{5A0FB6B2-6A91-4199-A25C-7BE8828AF262}" uniqueName="6" name="GDP_USD" queryTableFieldId="6" dataDxfId="9"/>
    <tableColumn id="8" xr3:uid="{561865FB-1745-4D08-92B4-16161FEF3776}" uniqueName="8" name="GDP_Share%" queryTableFieldId="8" dataDxfId="8">
      <calculatedColumnFormula>Country_GDP[[#This Row],[GDP_USD]]/SUM(GDP_USD)</calculatedColumnFormula>
    </tableColumn>
    <tableColumn id="2" xr3:uid="{EDA4A4E2-FC58-4B8B-9D08-1EBBD7BCB4CC}" uniqueName="2" name="GDP_BAND" queryTableFieldId="10" dataDxfId="7">
      <calculatedColumnFormula>IF(Country_GDP[[#This Row],[GDP_USD]]&gt;=1000000,"T1",
 IF(Country_GDP[[#This Row],[GDP_USD]]&gt;=500000,"T2",
 IF(Country_GDP[[#This Row],[GDP_USD]]&gt;=100000,"T3",
 "T4")))</calculatedColumnFormula>
    </tableColumn>
    <tableColumn id="3" xr3:uid="{C582214B-3DF7-4417-B56E-11F4FF5AFE49}" uniqueName="3" name="Relative_To_Leader%" queryTableFieldId="11" dataDxfId="6">
      <calculatedColumnFormula>Country_GDP[[#This Row],[GDP_USD]]/MAX(GDP_USD)</calculatedColumnFormula>
    </tableColumn>
    <tableColumn id="1" xr3:uid="{F5FBB708-7FCA-4B08-A2E1-11431E3FB416}" uniqueName="1" name="Dominance_Ratio%" queryTableFieldId="12" dataDxfId="5">
      <calculatedColumnFormula>Country_GDP[[#This Row],[GDP_USD]]/SUM(GDP_USD)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708B6-2633-46E9-A2B4-3A49D26C226A}">
  <dimension ref="A1:R35"/>
  <sheetViews>
    <sheetView tabSelected="1" topLeftCell="A13" zoomScale="76" zoomScaleNormal="76" workbookViewId="0">
      <selection activeCell="T10" sqref="T10"/>
    </sheetView>
  </sheetViews>
  <sheetFormatPr defaultRowHeight="14.5" x14ac:dyDescent="0.35"/>
  <cols>
    <col min="19" max="19" width="14.1796875" bestFit="1" customWidth="1"/>
    <col min="20" max="20" width="15.26953125" bestFit="1" customWidth="1"/>
    <col min="22" max="22" width="15.26953125" bestFit="1" customWidth="1"/>
    <col min="23" max="23" width="12.36328125" bestFit="1" customWidth="1"/>
    <col min="24" max="24" width="15.26953125" bestFit="1" customWidth="1"/>
    <col min="25" max="25" width="23.6328125" bestFit="1" customWidth="1"/>
    <col min="27" max="27" width="14.1796875" bestFit="1" customWidth="1"/>
    <col min="28" max="28" width="25.26953125" bestFit="1" customWidth="1"/>
    <col min="31" max="31" width="12.36328125" bestFit="1" customWidth="1"/>
    <col min="32" max="32" width="18.08984375" bestFit="1" customWidth="1"/>
  </cols>
  <sheetData>
    <row r="1" spans="1:18" x14ac:dyDescent="0.35">
      <c r="A1" s="6"/>
      <c r="B1" s="6"/>
      <c r="C1" s="6"/>
      <c r="D1" s="6"/>
      <c r="E1" s="6"/>
      <c r="F1" s="6"/>
      <c r="G1" s="6"/>
      <c r="H1" s="6"/>
      <c r="I1" s="6"/>
      <c r="J1" s="6"/>
      <c r="K1" s="6"/>
      <c r="L1" s="6"/>
      <c r="M1" s="6"/>
      <c r="N1" s="6"/>
      <c r="O1" s="6"/>
      <c r="P1" s="6"/>
      <c r="Q1" s="6"/>
      <c r="R1" s="6"/>
    </row>
    <row r="2" spans="1:18" x14ac:dyDescent="0.35">
      <c r="A2" s="6"/>
      <c r="B2" s="6"/>
      <c r="C2" s="6"/>
      <c r="D2" s="6"/>
      <c r="E2" s="6"/>
      <c r="F2" s="6"/>
      <c r="G2" s="6"/>
      <c r="H2" s="6"/>
      <c r="I2" s="6"/>
      <c r="J2" s="6"/>
      <c r="K2" s="6"/>
      <c r="L2" s="6"/>
      <c r="M2" s="6"/>
      <c r="N2" s="6"/>
      <c r="O2" s="6"/>
      <c r="P2" s="6"/>
      <c r="Q2" s="6"/>
      <c r="R2" s="6"/>
    </row>
    <row r="3" spans="1:18" x14ac:dyDescent="0.35">
      <c r="A3" s="6"/>
      <c r="B3" s="6"/>
      <c r="C3" s="6"/>
      <c r="D3" s="6"/>
      <c r="E3" s="6"/>
      <c r="F3" s="6"/>
      <c r="G3" s="6"/>
      <c r="H3" s="6"/>
      <c r="I3" s="6"/>
      <c r="J3" s="6"/>
      <c r="K3" s="6"/>
      <c r="L3" s="6"/>
      <c r="M3" s="6"/>
      <c r="N3" s="6"/>
      <c r="O3" s="6"/>
      <c r="P3" s="6"/>
      <c r="Q3" s="6"/>
      <c r="R3" s="6"/>
    </row>
    <row r="4" spans="1:18" x14ac:dyDescent="0.35">
      <c r="A4" s="6"/>
      <c r="B4" s="6"/>
      <c r="C4" s="6"/>
      <c r="D4" s="6"/>
      <c r="E4" s="6"/>
      <c r="F4" s="6"/>
      <c r="G4" s="6"/>
      <c r="H4" s="6"/>
      <c r="I4" s="6"/>
      <c r="J4" s="6"/>
      <c r="K4" s="6"/>
      <c r="L4" s="6"/>
      <c r="M4" s="6"/>
      <c r="N4" s="6"/>
      <c r="O4" s="6"/>
      <c r="P4" s="6"/>
      <c r="Q4" s="6"/>
      <c r="R4" s="6"/>
    </row>
    <row r="5" spans="1:18" x14ac:dyDescent="0.35">
      <c r="A5" s="6"/>
      <c r="B5" s="6"/>
      <c r="C5" s="6"/>
      <c r="D5" s="6"/>
      <c r="E5" s="6"/>
      <c r="F5" s="6"/>
      <c r="G5" s="6"/>
      <c r="H5" s="6"/>
      <c r="I5" s="6"/>
      <c r="J5" s="6"/>
      <c r="K5" s="6"/>
      <c r="L5" s="6"/>
      <c r="M5" s="6"/>
      <c r="N5" s="6"/>
      <c r="O5" s="6"/>
      <c r="P5" s="6"/>
      <c r="Q5" s="6"/>
      <c r="R5" s="6"/>
    </row>
    <row r="6" spans="1:18" x14ac:dyDescent="0.35">
      <c r="A6" s="6"/>
      <c r="B6" s="6"/>
      <c r="C6" s="6"/>
      <c r="D6" s="6"/>
      <c r="E6" s="6"/>
      <c r="F6" s="6"/>
      <c r="G6" s="6"/>
      <c r="H6" s="6"/>
      <c r="I6" s="6"/>
      <c r="J6" s="6"/>
      <c r="K6" s="6"/>
      <c r="L6" s="6"/>
      <c r="M6" s="6"/>
      <c r="N6" s="6"/>
      <c r="O6" s="6"/>
      <c r="P6" s="6"/>
      <c r="Q6" s="6"/>
      <c r="R6" s="7"/>
    </row>
    <row r="7" spans="1:18" x14ac:dyDescent="0.35">
      <c r="A7" s="6"/>
      <c r="B7" s="6"/>
      <c r="C7" s="6"/>
      <c r="D7" s="6"/>
      <c r="E7" s="6"/>
      <c r="F7" s="6"/>
      <c r="G7" s="6"/>
      <c r="H7" s="6"/>
      <c r="I7" s="6"/>
      <c r="J7" s="6"/>
      <c r="K7" s="6"/>
      <c r="L7" s="6"/>
      <c r="M7" s="6"/>
      <c r="N7" s="6"/>
      <c r="O7" s="6"/>
      <c r="P7" s="6"/>
      <c r="Q7" s="6"/>
      <c r="R7" s="6"/>
    </row>
    <row r="8" spans="1:18" x14ac:dyDescent="0.35">
      <c r="A8" s="6"/>
      <c r="B8" s="6"/>
      <c r="C8" s="6"/>
      <c r="D8" s="6"/>
      <c r="E8" s="6"/>
      <c r="F8" s="6"/>
      <c r="G8" s="6"/>
      <c r="H8" s="6"/>
      <c r="I8" s="6"/>
      <c r="J8" s="6"/>
      <c r="K8" s="6"/>
      <c r="L8" s="6"/>
      <c r="M8" s="6"/>
      <c r="N8" s="6"/>
      <c r="O8" s="6"/>
      <c r="P8" s="6"/>
      <c r="Q8" s="6"/>
      <c r="R8" s="6"/>
    </row>
    <row r="9" spans="1:18" x14ac:dyDescent="0.35">
      <c r="A9" s="6"/>
      <c r="B9" s="6"/>
      <c r="C9" s="6"/>
      <c r="D9" s="6"/>
      <c r="E9" s="6"/>
      <c r="F9" s="6"/>
      <c r="G9" s="6"/>
      <c r="H9" s="6"/>
      <c r="I9" s="6"/>
      <c r="J9" s="6"/>
      <c r="K9" s="6"/>
      <c r="L9" s="6"/>
      <c r="M9" s="6"/>
      <c r="N9" s="6"/>
      <c r="O9" s="6"/>
      <c r="P9" s="6"/>
      <c r="Q9" s="6"/>
      <c r="R9" s="6"/>
    </row>
    <row r="10" spans="1:18" x14ac:dyDescent="0.35">
      <c r="A10" s="6"/>
      <c r="B10" s="6"/>
      <c r="C10" s="6"/>
      <c r="D10" s="6"/>
      <c r="E10" s="6"/>
      <c r="F10" s="6"/>
      <c r="G10" s="6"/>
      <c r="H10" s="6"/>
      <c r="I10" s="6"/>
      <c r="J10" s="6"/>
      <c r="K10" s="6"/>
      <c r="L10" s="6"/>
      <c r="M10" s="6"/>
      <c r="N10" s="6"/>
      <c r="O10" s="6"/>
      <c r="P10" s="6"/>
      <c r="Q10" s="6"/>
      <c r="R10" s="6"/>
    </row>
    <row r="11" spans="1:18" x14ac:dyDescent="0.35">
      <c r="A11" s="6"/>
      <c r="B11" s="6"/>
      <c r="C11" s="6"/>
      <c r="D11" s="6"/>
      <c r="E11" s="6"/>
      <c r="F11" s="6"/>
      <c r="G11" s="6"/>
      <c r="H11" s="6"/>
      <c r="I11" s="6"/>
      <c r="J11" s="6"/>
      <c r="K11" s="6"/>
      <c r="L11" s="6"/>
      <c r="M11" s="6"/>
      <c r="N11" s="6"/>
      <c r="O11" s="6"/>
      <c r="P11" s="6"/>
      <c r="Q11" s="6"/>
      <c r="R11" s="6"/>
    </row>
    <row r="12" spans="1:18" x14ac:dyDescent="0.35">
      <c r="A12" s="6"/>
      <c r="B12" s="6"/>
      <c r="C12" s="6"/>
      <c r="D12" s="6"/>
      <c r="E12" s="6"/>
      <c r="F12" s="6"/>
      <c r="G12" s="6"/>
      <c r="H12" s="6"/>
      <c r="I12" s="6"/>
      <c r="J12" s="6"/>
      <c r="K12" s="6"/>
      <c r="L12" s="6"/>
      <c r="M12" s="6"/>
      <c r="N12" s="6"/>
      <c r="O12" s="6"/>
      <c r="P12" s="6"/>
      <c r="Q12" s="6"/>
      <c r="R12" s="6"/>
    </row>
    <row r="13" spans="1:18" x14ac:dyDescent="0.35">
      <c r="A13" s="6"/>
      <c r="B13" s="6"/>
      <c r="C13" s="6"/>
      <c r="D13" s="6"/>
      <c r="E13" s="6"/>
      <c r="F13" s="6"/>
      <c r="G13" s="6"/>
      <c r="H13" s="6"/>
      <c r="I13" s="6"/>
      <c r="J13" s="6"/>
      <c r="K13" s="6"/>
      <c r="L13" s="6"/>
      <c r="M13" s="6"/>
      <c r="N13" s="6"/>
      <c r="O13" s="6"/>
      <c r="P13" s="6"/>
      <c r="Q13" s="6"/>
      <c r="R13" s="6"/>
    </row>
    <row r="14" spans="1:18" x14ac:dyDescent="0.35">
      <c r="A14" s="6"/>
      <c r="B14" s="6"/>
      <c r="C14" s="6"/>
      <c r="D14" s="6"/>
      <c r="E14" s="6"/>
      <c r="F14" s="6"/>
      <c r="G14" s="6"/>
      <c r="H14" s="6"/>
      <c r="I14" s="6"/>
      <c r="J14" s="6"/>
      <c r="K14" s="6"/>
      <c r="L14" s="6"/>
      <c r="M14" s="6"/>
      <c r="N14" s="6"/>
      <c r="O14" s="6"/>
      <c r="P14" s="6"/>
      <c r="Q14" s="6"/>
      <c r="R14" s="6"/>
    </row>
    <row r="15" spans="1:18" x14ac:dyDescent="0.35">
      <c r="A15" s="6"/>
      <c r="B15" s="6"/>
      <c r="C15" s="6"/>
      <c r="D15" s="6"/>
      <c r="E15" s="6"/>
      <c r="F15" s="6"/>
      <c r="G15" s="6"/>
      <c r="H15" s="6"/>
      <c r="I15" s="6"/>
      <c r="J15" s="6"/>
      <c r="K15" s="6"/>
      <c r="L15" s="6"/>
      <c r="M15" s="6"/>
      <c r="N15" s="6"/>
      <c r="O15" s="6"/>
      <c r="P15" s="6"/>
      <c r="Q15" s="6"/>
      <c r="R15" s="6"/>
    </row>
    <row r="16" spans="1:18" x14ac:dyDescent="0.35">
      <c r="A16" s="6"/>
      <c r="B16" s="6"/>
      <c r="C16" s="6"/>
      <c r="D16" s="6"/>
      <c r="E16" s="6"/>
      <c r="F16" s="6"/>
      <c r="G16" s="6"/>
      <c r="H16" s="6"/>
      <c r="I16" s="6"/>
      <c r="J16" s="6"/>
      <c r="K16" s="6"/>
      <c r="L16" s="6"/>
      <c r="M16" s="6"/>
      <c r="N16" s="6"/>
      <c r="O16" s="6"/>
      <c r="P16" s="6"/>
      <c r="Q16" s="6"/>
      <c r="R16" s="6"/>
    </row>
    <row r="17" spans="1:18" x14ac:dyDescent="0.35">
      <c r="A17" s="6"/>
      <c r="B17" s="6"/>
      <c r="C17" s="6"/>
      <c r="D17" s="6"/>
      <c r="E17" s="6"/>
      <c r="F17" s="6"/>
      <c r="G17" s="6"/>
      <c r="H17" s="6"/>
      <c r="I17" s="6"/>
      <c r="J17" s="6"/>
      <c r="K17" s="6"/>
      <c r="L17" s="6"/>
      <c r="M17" s="6"/>
      <c r="N17" s="6"/>
      <c r="O17" s="6"/>
      <c r="P17" s="6"/>
      <c r="Q17" s="6"/>
      <c r="R17" s="6"/>
    </row>
    <row r="18" spans="1:18" x14ac:dyDescent="0.35">
      <c r="A18" s="6"/>
      <c r="B18" s="6"/>
      <c r="C18" s="6"/>
      <c r="D18" s="6"/>
      <c r="E18" s="6"/>
      <c r="F18" s="6"/>
      <c r="G18" s="6"/>
      <c r="H18" s="6"/>
      <c r="I18" s="6"/>
      <c r="J18" s="6"/>
      <c r="K18" s="6"/>
      <c r="L18" s="6"/>
      <c r="M18" s="6"/>
      <c r="N18" s="6"/>
      <c r="O18" s="6"/>
      <c r="P18" s="6"/>
      <c r="Q18" s="6"/>
      <c r="R18" s="6"/>
    </row>
    <row r="19" spans="1:18" x14ac:dyDescent="0.35">
      <c r="A19" s="6"/>
      <c r="B19" s="6"/>
      <c r="C19" s="6"/>
      <c r="D19" s="6"/>
      <c r="E19" s="6"/>
      <c r="F19" s="6"/>
      <c r="G19" s="6"/>
      <c r="H19" s="6"/>
      <c r="I19" s="6"/>
      <c r="J19" s="6"/>
      <c r="K19" s="6"/>
      <c r="L19" s="6"/>
      <c r="M19" s="6"/>
      <c r="N19" s="6"/>
      <c r="O19" s="6"/>
      <c r="P19" s="6"/>
      <c r="Q19" s="6"/>
      <c r="R19" s="6"/>
    </row>
    <row r="20" spans="1:18" x14ac:dyDescent="0.35">
      <c r="A20" s="6"/>
      <c r="B20" s="6"/>
      <c r="C20" s="6"/>
      <c r="D20" s="6"/>
      <c r="E20" s="6"/>
      <c r="F20" s="6"/>
      <c r="G20" s="6"/>
      <c r="H20" s="6"/>
      <c r="I20" s="6"/>
      <c r="J20" s="6"/>
      <c r="K20" s="6"/>
      <c r="L20" s="6"/>
      <c r="M20" s="6"/>
      <c r="N20" s="6"/>
      <c r="O20" s="6"/>
      <c r="P20" s="6"/>
      <c r="Q20" s="6"/>
      <c r="R20" s="6"/>
    </row>
    <row r="21" spans="1:18" x14ac:dyDescent="0.35">
      <c r="A21" s="6"/>
      <c r="B21" s="6"/>
      <c r="C21" s="6"/>
      <c r="D21" s="6"/>
      <c r="E21" s="6"/>
      <c r="F21" s="6"/>
      <c r="G21" s="6"/>
      <c r="H21" s="6"/>
      <c r="I21" s="6"/>
      <c r="J21" s="6"/>
      <c r="K21" s="6"/>
      <c r="L21" s="6"/>
      <c r="M21" s="6"/>
      <c r="N21" s="6"/>
      <c r="O21" s="6"/>
      <c r="P21" s="6"/>
      <c r="Q21" s="6"/>
      <c r="R21" s="6"/>
    </row>
    <row r="22" spans="1:18" x14ac:dyDescent="0.35">
      <c r="A22" s="6"/>
      <c r="B22" s="6"/>
      <c r="C22" s="6"/>
      <c r="D22" s="6"/>
      <c r="E22" s="6"/>
      <c r="F22" s="6"/>
      <c r="G22" s="6"/>
      <c r="H22" s="6"/>
      <c r="I22" s="6"/>
      <c r="J22" s="6"/>
      <c r="K22" s="6"/>
      <c r="L22" s="6"/>
      <c r="M22" s="6"/>
      <c r="N22" s="6"/>
      <c r="O22" s="6"/>
      <c r="P22" s="6"/>
      <c r="Q22" s="6"/>
      <c r="R22" s="6"/>
    </row>
    <row r="23" spans="1:18" x14ac:dyDescent="0.35">
      <c r="A23" s="6"/>
      <c r="B23" s="6"/>
      <c r="C23" s="6"/>
      <c r="D23" s="6"/>
      <c r="E23" s="6"/>
      <c r="F23" s="6"/>
      <c r="G23" s="6"/>
      <c r="H23" s="6"/>
      <c r="I23" s="6"/>
      <c r="J23" s="6"/>
      <c r="K23" s="6"/>
      <c r="L23" s="6"/>
      <c r="M23" s="6"/>
      <c r="N23" s="6"/>
      <c r="O23" s="6"/>
      <c r="P23" s="6"/>
      <c r="Q23" s="6"/>
      <c r="R23" s="6"/>
    </row>
    <row r="24" spans="1:18" x14ac:dyDescent="0.35">
      <c r="A24" s="6"/>
      <c r="B24" s="6"/>
      <c r="C24" s="6"/>
      <c r="D24" s="6"/>
      <c r="E24" s="6"/>
      <c r="F24" s="6"/>
      <c r="G24" s="6"/>
      <c r="H24" s="6"/>
      <c r="I24" s="6"/>
      <c r="J24" s="6"/>
      <c r="K24" s="6"/>
      <c r="L24" s="6"/>
      <c r="M24" s="6"/>
      <c r="N24" s="6"/>
      <c r="O24" s="6"/>
      <c r="P24" s="6"/>
      <c r="Q24" s="6"/>
      <c r="R24" s="6"/>
    </row>
    <row r="25" spans="1:18" x14ac:dyDescent="0.35">
      <c r="A25" s="6"/>
      <c r="B25" s="6"/>
      <c r="C25" s="6"/>
      <c r="D25" s="6"/>
      <c r="E25" s="6"/>
      <c r="F25" s="6"/>
      <c r="G25" s="6"/>
      <c r="H25" s="6"/>
      <c r="I25" s="6"/>
      <c r="J25" s="6"/>
      <c r="K25" s="6"/>
      <c r="L25" s="6"/>
      <c r="M25" s="6"/>
      <c r="N25" s="6"/>
      <c r="O25" s="6"/>
      <c r="P25" s="6"/>
      <c r="Q25" s="6"/>
      <c r="R25" s="6"/>
    </row>
    <row r="26" spans="1:18" x14ac:dyDescent="0.35">
      <c r="A26" s="6"/>
      <c r="B26" s="6"/>
      <c r="C26" s="6"/>
      <c r="D26" s="6"/>
      <c r="E26" s="6"/>
      <c r="F26" s="6"/>
      <c r="G26" s="6"/>
      <c r="H26" s="6"/>
      <c r="I26" s="6"/>
      <c r="J26" s="6"/>
      <c r="K26" s="6"/>
      <c r="L26" s="6"/>
      <c r="M26" s="6"/>
      <c r="N26" s="6"/>
      <c r="O26" s="6"/>
      <c r="P26" s="6"/>
      <c r="Q26" s="6"/>
      <c r="R26" s="6"/>
    </row>
    <row r="27" spans="1:18" x14ac:dyDescent="0.35">
      <c r="A27" s="6"/>
      <c r="B27" s="6"/>
      <c r="C27" s="6"/>
      <c r="D27" s="6"/>
      <c r="E27" s="6"/>
      <c r="F27" s="6"/>
      <c r="G27" s="6"/>
      <c r="H27" s="6"/>
      <c r="I27" s="6"/>
      <c r="J27" s="6"/>
      <c r="K27" s="6"/>
      <c r="L27" s="6"/>
      <c r="M27" s="6"/>
      <c r="N27" s="6"/>
      <c r="O27" s="6"/>
      <c r="P27" s="6"/>
      <c r="Q27" s="6"/>
      <c r="R27" s="6"/>
    </row>
    <row r="28" spans="1:18" x14ac:dyDescent="0.35">
      <c r="A28" s="6"/>
      <c r="B28" s="6"/>
      <c r="C28" s="6"/>
      <c r="D28" s="6"/>
      <c r="E28" s="6"/>
      <c r="F28" s="6"/>
      <c r="G28" s="6"/>
      <c r="H28" s="6"/>
      <c r="I28" s="6"/>
      <c r="J28" s="6"/>
      <c r="K28" s="6"/>
      <c r="L28" s="6"/>
      <c r="M28" s="6"/>
      <c r="N28" s="6"/>
      <c r="O28" s="6"/>
      <c r="P28" s="6"/>
      <c r="Q28" s="6"/>
      <c r="R28" s="6"/>
    </row>
    <row r="29" spans="1:18" x14ac:dyDescent="0.35">
      <c r="A29" s="6"/>
      <c r="B29" s="6"/>
      <c r="C29" s="6"/>
      <c r="D29" s="6"/>
      <c r="E29" s="6"/>
      <c r="F29" s="6"/>
      <c r="G29" s="6"/>
      <c r="H29" s="6"/>
      <c r="I29" s="6"/>
      <c r="J29" s="6"/>
      <c r="K29" s="6"/>
      <c r="L29" s="6"/>
      <c r="M29" s="6"/>
      <c r="N29" s="6"/>
      <c r="O29" s="6"/>
      <c r="P29" s="6"/>
      <c r="Q29" s="6"/>
      <c r="R29" s="6"/>
    </row>
    <row r="30" spans="1:18" x14ac:dyDescent="0.35">
      <c r="A30" s="6"/>
      <c r="B30" s="6"/>
      <c r="C30" s="6"/>
      <c r="D30" s="6"/>
      <c r="E30" s="6"/>
      <c r="F30" s="6"/>
      <c r="G30" s="6"/>
      <c r="H30" s="6"/>
      <c r="I30" s="6"/>
      <c r="J30" s="6"/>
      <c r="K30" s="6"/>
      <c r="L30" s="6"/>
      <c r="M30" s="6"/>
      <c r="N30" s="6"/>
      <c r="O30" s="6"/>
      <c r="P30" s="6"/>
      <c r="Q30" s="6"/>
      <c r="R30" s="6"/>
    </row>
    <row r="31" spans="1:18" x14ac:dyDescent="0.35">
      <c r="A31" s="6"/>
      <c r="B31" s="6"/>
      <c r="C31" s="6"/>
      <c r="D31" s="6"/>
      <c r="E31" s="6"/>
      <c r="F31" s="6"/>
      <c r="G31" s="6"/>
      <c r="H31" s="6"/>
      <c r="I31" s="6"/>
      <c r="J31" s="6"/>
      <c r="K31" s="6"/>
      <c r="L31" s="6"/>
      <c r="M31" s="6"/>
      <c r="N31" s="6"/>
      <c r="O31" s="6"/>
      <c r="P31" s="6"/>
      <c r="Q31" s="6"/>
      <c r="R31" s="6"/>
    </row>
    <row r="32" spans="1:18" x14ac:dyDescent="0.35">
      <c r="A32" s="6"/>
      <c r="B32" s="6"/>
      <c r="C32" s="6"/>
      <c r="D32" s="6"/>
      <c r="E32" s="6"/>
      <c r="F32" s="6"/>
      <c r="G32" s="6"/>
      <c r="H32" s="6"/>
      <c r="I32" s="6"/>
      <c r="J32" s="6"/>
      <c r="K32" s="6"/>
      <c r="L32" s="6"/>
      <c r="M32" s="6"/>
      <c r="N32" s="6"/>
      <c r="O32" s="6"/>
      <c r="P32" s="6"/>
      <c r="Q32" s="6"/>
      <c r="R32" s="6"/>
    </row>
    <row r="33" spans="1:18" x14ac:dyDescent="0.35">
      <c r="A33" s="6"/>
      <c r="B33" s="6"/>
      <c r="C33" s="6"/>
      <c r="D33" s="6"/>
      <c r="E33" s="6"/>
      <c r="F33" s="6"/>
      <c r="G33" s="6"/>
      <c r="H33" s="6"/>
      <c r="I33" s="6"/>
      <c r="J33" s="6"/>
      <c r="K33" s="6"/>
      <c r="L33" s="6"/>
      <c r="M33" s="6"/>
      <c r="N33" s="6"/>
      <c r="O33" s="6"/>
      <c r="P33" s="6"/>
      <c r="Q33" s="6"/>
      <c r="R33" s="6"/>
    </row>
    <row r="34" spans="1:18" x14ac:dyDescent="0.35">
      <c r="A34" s="6"/>
      <c r="B34" s="6"/>
      <c r="C34" s="6"/>
      <c r="D34" s="6"/>
      <c r="E34" s="6"/>
      <c r="F34" s="6"/>
      <c r="G34" s="6"/>
      <c r="H34" s="6"/>
      <c r="I34" s="6"/>
      <c r="J34" s="6"/>
      <c r="K34" s="6"/>
      <c r="L34" s="6"/>
      <c r="M34" s="6"/>
      <c r="N34" s="6"/>
      <c r="O34" s="6"/>
      <c r="P34" s="6"/>
      <c r="Q34" s="6"/>
      <c r="R34" s="6"/>
    </row>
    <row r="35" spans="1:18" x14ac:dyDescent="0.35">
      <c r="A35" s="6"/>
      <c r="B35" s="6"/>
      <c r="C35" s="6"/>
      <c r="D35" s="6"/>
      <c r="E35" s="6"/>
      <c r="F35" s="6"/>
      <c r="G35" s="6"/>
      <c r="H35" s="6"/>
      <c r="I35" s="6"/>
      <c r="J35" s="6"/>
      <c r="K35" s="6"/>
      <c r="L35" s="6"/>
      <c r="M35" s="6"/>
      <c r="N35" s="6"/>
      <c r="O35" s="6"/>
      <c r="P35" s="6"/>
      <c r="Q35" s="6"/>
      <c r="R35"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7181-C72F-4195-A59D-62FBC32A3DE1}">
  <dimension ref="B4:Y196"/>
  <sheetViews>
    <sheetView workbookViewId="0">
      <selection activeCell="T10" sqref="T10"/>
    </sheetView>
  </sheetViews>
  <sheetFormatPr defaultRowHeight="14.5" x14ac:dyDescent="0.35"/>
  <cols>
    <col min="2" max="2" width="14.1796875" bestFit="1" customWidth="1"/>
    <col min="3" max="3" width="15.26953125" bestFit="1" customWidth="1"/>
    <col min="5" max="5" width="15.26953125" bestFit="1" customWidth="1"/>
    <col min="6" max="6" width="12.36328125" bestFit="1" customWidth="1"/>
    <col min="7" max="7" width="15.26953125" bestFit="1" customWidth="1"/>
    <col min="8" max="8" width="23.6328125" bestFit="1" customWidth="1"/>
    <col min="10" max="10" width="14.1796875" bestFit="1" customWidth="1"/>
    <col min="11" max="11" width="25.26953125" bestFit="1" customWidth="1"/>
    <col min="14" max="14" width="12.36328125" bestFit="1" customWidth="1"/>
    <col min="15" max="15" width="18.08984375" bestFit="1" customWidth="1"/>
    <col min="18" max="18" width="15.26953125" bestFit="1" customWidth="1"/>
    <col min="21" max="21" width="28.7265625" bestFit="1" customWidth="1"/>
    <col min="22" max="22" width="23.6328125" bestFit="1" customWidth="1"/>
  </cols>
  <sheetData>
    <row r="4" spans="2:25" x14ac:dyDescent="0.35">
      <c r="B4" s="2" t="s">
        <v>189</v>
      </c>
      <c r="C4" t="s">
        <v>191</v>
      </c>
      <c r="F4" s="2" t="s">
        <v>189</v>
      </c>
      <c r="G4" t="s">
        <v>191</v>
      </c>
      <c r="J4" s="2" t="s">
        <v>189</v>
      </c>
      <c r="K4" t="s">
        <v>196</v>
      </c>
      <c r="N4" s="2" t="s">
        <v>189</v>
      </c>
      <c r="O4" t="s">
        <v>199</v>
      </c>
      <c r="R4" t="s">
        <v>191</v>
      </c>
      <c r="U4" s="2" t="s">
        <v>189</v>
      </c>
      <c r="V4" t="s">
        <v>198</v>
      </c>
      <c r="Y4" s="4">
        <f>GETPIVOTDATA("GDP_USD",$R$4)</f>
        <v>123417484</v>
      </c>
    </row>
    <row r="5" spans="2:25" x14ac:dyDescent="0.35">
      <c r="B5" s="3" t="s">
        <v>0</v>
      </c>
      <c r="C5" s="5">
        <v>31821293</v>
      </c>
      <c r="F5" s="3" t="s">
        <v>195</v>
      </c>
      <c r="G5" s="5">
        <v>2973589</v>
      </c>
      <c r="J5" s="3" t="s">
        <v>0</v>
      </c>
      <c r="K5" s="1">
        <v>1</v>
      </c>
      <c r="N5" s="3" t="s">
        <v>192</v>
      </c>
      <c r="O5" s="1">
        <v>0.81419648775209208</v>
      </c>
      <c r="R5" s="4">
        <v>123417484</v>
      </c>
      <c r="U5" s="3" t="s">
        <v>104</v>
      </c>
      <c r="V5" s="1">
        <v>2.6261271052973337E-4</v>
      </c>
    </row>
    <row r="6" spans="2:25" x14ac:dyDescent="0.35">
      <c r="B6" s="3" t="s">
        <v>184</v>
      </c>
      <c r="C6" s="5">
        <v>20650754</v>
      </c>
      <c r="F6" s="3" t="s">
        <v>194</v>
      </c>
      <c r="G6" s="5">
        <v>9938775</v>
      </c>
      <c r="J6" s="3" t="s">
        <v>184</v>
      </c>
      <c r="K6" s="1">
        <v>0.6489602418104129</v>
      </c>
      <c r="N6" s="3" t="s">
        <v>193</v>
      </c>
      <c r="O6" s="1">
        <v>8.1180053873080082E-2</v>
      </c>
      <c r="U6" s="3" t="s">
        <v>49</v>
      </c>
      <c r="V6" s="1">
        <v>2.3091055721084055E-3</v>
      </c>
    </row>
    <row r="7" spans="2:25" x14ac:dyDescent="0.35">
      <c r="B7" s="3" t="s">
        <v>1</v>
      </c>
      <c r="C7" s="5">
        <v>5328184</v>
      </c>
      <c r="F7" s="3" t="s">
        <v>193</v>
      </c>
      <c r="G7" s="5">
        <v>10019038</v>
      </c>
      <c r="J7" s="3" t="s">
        <v>1</v>
      </c>
      <c r="K7" s="1">
        <v>0.16744083906332782</v>
      </c>
      <c r="N7" s="3" t="s">
        <v>194</v>
      </c>
      <c r="O7" s="1">
        <v>8.0529716518933397E-2</v>
      </c>
      <c r="U7" s="3" t="s">
        <v>152</v>
      </c>
      <c r="V7" s="1">
        <v>3.8203663267029488E-5</v>
      </c>
      <c r="Y7" s="1">
        <f>GETPIVOTDATA("Dominance_Ratio%",$U$4,"Country","United States")</f>
        <v>0.25783456256489556</v>
      </c>
    </row>
    <row r="8" spans="2:25" x14ac:dyDescent="0.35">
      <c r="B8" s="3" t="s">
        <v>2</v>
      </c>
      <c r="C8" s="5">
        <v>4515629</v>
      </c>
      <c r="F8" s="3" t="s">
        <v>192</v>
      </c>
      <c r="G8" s="5">
        <v>100486082</v>
      </c>
      <c r="J8" s="3" t="s">
        <v>2</v>
      </c>
      <c r="K8" s="1">
        <v>0.14190589301320974</v>
      </c>
      <c r="N8" s="3" t="s">
        <v>195</v>
      </c>
      <c r="O8" s="1">
        <v>2.4093741855894583E-2</v>
      </c>
      <c r="U8" s="3" t="s">
        <v>69</v>
      </c>
      <c r="V8" s="1">
        <v>8.9010889251315477E-4</v>
      </c>
    </row>
    <row r="9" spans="2:25" x14ac:dyDescent="0.35">
      <c r="B9" s="3" t="s">
        <v>3</v>
      </c>
      <c r="C9" s="5">
        <v>4463634</v>
      </c>
      <c r="F9" s="3" t="s">
        <v>190</v>
      </c>
      <c r="G9" s="5">
        <v>123417484</v>
      </c>
      <c r="J9" s="3" t="s">
        <v>3</v>
      </c>
      <c r="K9" s="1">
        <v>0.14027192421125062</v>
      </c>
      <c r="N9" s="3" t="s">
        <v>190</v>
      </c>
      <c r="O9" s="1">
        <v>1.0000000000000002</v>
      </c>
      <c r="U9" s="3" t="s">
        <v>162</v>
      </c>
      <c r="V9" s="1">
        <v>1.9899935733578882E-5</v>
      </c>
    </row>
    <row r="10" spans="2:25" x14ac:dyDescent="0.35">
      <c r="B10" s="3" t="s">
        <v>4</v>
      </c>
      <c r="C10" s="5">
        <v>4225639</v>
      </c>
      <c r="J10" s="3" t="s">
        <v>4</v>
      </c>
      <c r="K10" s="1">
        <v>0.13279281266163509</v>
      </c>
      <c r="U10" s="3" t="s">
        <v>23</v>
      </c>
      <c r="V10" s="1">
        <v>5.4118912357668872E-3</v>
      </c>
    </row>
    <row r="11" spans="2:25" x14ac:dyDescent="0.35">
      <c r="B11" s="3" t="s">
        <v>5</v>
      </c>
      <c r="C11" s="5">
        <v>3558562</v>
      </c>
      <c r="J11" s="3" t="s">
        <v>5</v>
      </c>
      <c r="K11" s="1">
        <v>0.11182958530314906</v>
      </c>
      <c r="U11" s="3" t="s">
        <v>109</v>
      </c>
      <c r="V11" s="1">
        <v>2.3563922272147437E-4</v>
      </c>
    </row>
    <row r="12" spans="2:25" x14ac:dyDescent="0.35">
      <c r="B12" s="3" t="s">
        <v>6</v>
      </c>
      <c r="C12" s="5">
        <v>2701544</v>
      </c>
      <c r="J12" s="3" t="s">
        <v>6</v>
      </c>
      <c r="K12" s="1">
        <v>8.4897367306853308E-2</v>
      </c>
      <c r="U12" s="3" t="s">
        <v>153</v>
      </c>
      <c r="V12" s="1">
        <v>3.6226633821185337E-5</v>
      </c>
    </row>
    <row r="13" spans="2:25" x14ac:dyDescent="0.35">
      <c r="B13" s="3" t="s">
        <v>7</v>
      </c>
      <c r="C13" s="5">
        <v>2509421</v>
      </c>
      <c r="J13" s="3" t="s">
        <v>7</v>
      </c>
      <c r="K13" s="1">
        <v>7.8859806231003873E-2</v>
      </c>
      <c r="U13" s="3" t="s">
        <v>12</v>
      </c>
      <c r="V13" s="1">
        <v>1.578566453355993E-2</v>
      </c>
    </row>
    <row r="14" spans="2:25" x14ac:dyDescent="0.35">
      <c r="B14" s="3" t="s">
        <v>8</v>
      </c>
      <c r="C14" s="5">
        <v>2420837</v>
      </c>
      <c r="J14" s="3" t="s">
        <v>8</v>
      </c>
      <c r="K14" s="1">
        <v>7.6076009859184543E-2</v>
      </c>
      <c r="U14" s="3" t="s">
        <v>26</v>
      </c>
      <c r="V14" s="1">
        <v>4.8955624472137192E-3</v>
      </c>
    </row>
    <row r="15" spans="2:25" x14ac:dyDescent="0.35">
      <c r="B15" s="3" t="s">
        <v>190</v>
      </c>
      <c r="C15" s="5">
        <v>82195497</v>
      </c>
      <c r="J15" s="3" t="s">
        <v>190</v>
      </c>
      <c r="K15" s="1">
        <v>2.5830344794600268</v>
      </c>
      <c r="U15" s="3" t="s">
        <v>79</v>
      </c>
      <c r="V15" s="1">
        <v>6.4840083759931449E-4</v>
      </c>
    </row>
    <row r="16" spans="2:25" x14ac:dyDescent="0.35">
      <c r="U16" s="3" t="s">
        <v>130</v>
      </c>
      <c r="V16" s="1">
        <v>1.3645554466172719E-4</v>
      </c>
    </row>
    <row r="17" spans="21:22" x14ac:dyDescent="0.35">
      <c r="U17" s="3" t="s">
        <v>93</v>
      </c>
      <c r="V17" s="1">
        <v>3.9859830556908778E-4</v>
      </c>
    </row>
    <row r="18" spans="21:22" x14ac:dyDescent="0.35">
      <c r="U18" s="3" t="s">
        <v>31</v>
      </c>
      <c r="V18" s="1">
        <v>4.2075724052193448E-3</v>
      </c>
    </row>
    <row r="19" spans="21:22" x14ac:dyDescent="0.35">
      <c r="U19" s="3" t="s">
        <v>145</v>
      </c>
      <c r="V19" s="1">
        <v>6.4366893105680231E-5</v>
      </c>
    </row>
    <row r="20" spans="21:22" x14ac:dyDescent="0.35">
      <c r="U20" s="3" t="s">
        <v>76</v>
      </c>
      <c r="V20" s="1">
        <v>7.337372069584566E-4</v>
      </c>
    </row>
    <row r="21" spans="21:22" x14ac:dyDescent="0.35">
      <c r="U21" s="3" t="s">
        <v>20</v>
      </c>
      <c r="V21" s="1">
        <v>6.1674729975859819E-3</v>
      </c>
    </row>
    <row r="22" spans="21:22" x14ac:dyDescent="0.35">
      <c r="U22" s="3" t="s">
        <v>156</v>
      </c>
      <c r="V22" s="1">
        <v>2.7889079313916332E-5</v>
      </c>
    </row>
    <row r="23" spans="21:22" x14ac:dyDescent="0.35">
      <c r="U23" s="3" t="s">
        <v>112</v>
      </c>
      <c r="V23" s="1">
        <v>2.2244012039655581E-4</v>
      </c>
    </row>
    <row r="24" spans="21:22" x14ac:dyDescent="0.35">
      <c r="U24" s="3" t="s">
        <v>154</v>
      </c>
      <c r="V24" s="1">
        <v>3.0554828033927509E-5</v>
      </c>
    </row>
    <row r="25" spans="21:22" x14ac:dyDescent="0.35">
      <c r="U25" s="3" t="s">
        <v>87</v>
      </c>
      <c r="V25" s="1">
        <v>4.6254386453057169E-4</v>
      </c>
    </row>
    <row r="26" spans="21:22" x14ac:dyDescent="0.35">
      <c r="U26" s="3" t="s">
        <v>101</v>
      </c>
      <c r="V26" s="1">
        <v>2.9362938560633761E-4</v>
      </c>
    </row>
    <row r="27" spans="21:22" x14ac:dyDescent="0.35">
      <c r="U27" s="3" t="s">
        <v>124</v>
      </c>
      <c r="V27" s="1">
        <v>1.6778822034647863E-4</v>
      </c>
    </row>
    <row r="28" spans="21:22" x14ac:dyDescent="0.35">
      <c r="U28" s="3" t="s">
        <v>9</v>
      </c>
      <c r="V28" s="1">
        <v>1.857670344341163E-2</v>
      </c>
    </row>
    <row r="29" spans="21:22" x14ac:dyDescent="0.35">
      <c r="U29" s="3" t="s">
        <v>132</v>
      </c>
      <c r="V29" s="1">
        <v>1.3334415405843146E-4</v>
      </c>
    </row>
    <row r="30" spans="21:22" x14ac:dyDescent="0.35">
      <c r="U30" s="3" t="s">
        <v>58</v>
      </c>
      <c r="V30" s="1">
        <v>1.152211140522035E-3</v>
      </c>
    </row>
    <row r="31" spans="21:22" x14ac:dyDescent="0.35">
      <c r="U31" s="3" t="s">
        <v>107</v>
      </c>
      <c r="V31" s="1">
        <v>2.4878970956821643E-4</v>
      </c>
    </row>
    <row r="32" spans="21:22" x14ac:dyDescent="0.35">
      <c r="U32" s="3" t="s">
        <v>143</v>
      </c>
      <c r="V32" s="1">
        <v>7.464096416031298E-5</v>
      </c>
    </row>
    <row r="33" spans="21:22" x14ac:dyDescent="0.35">
      <c r="U33" s="3" t="s">
        <v>91</v>
      </c>
      <c r="V33" s="1">
        <v>4.1733146982643075E-4</v>
      </c>
    </row>
    <row r="34" spans="21:22" x14ac:dyDescent="0.35">
      <c r="U34" s="3" t="s">
        <v>83</v>
      </c>
      <c r="V34" s="1">
        <v>5.4706187334040938E-4</v>
      </c>
    </row>
    <row r="35" spans="21:22" x14ac:dyDescent="0.35">
      <c r="U35" s="3" t="s">
        <v>8</v>
      </c>
      <c r="V35" s="1">
        <v>1.9615024723725529E-2</v>
      </c>
    </row>
    <row r="36" spans="21:22" x14ac:dyDescent="0.35">
      <c r="U36" s="3" t="s">
        <v>157</v>
      </c>
      <c r="V36" s="1">
        <v>2.5425895086307219E-5</v>
      </c>
    </row>
    <row r="37" spans="21:22" x14ac:dyDescent="0.35">
      <c r="U37" s="3" t="s">
        <v>155</v>
      </c>
      <c r="V37" s="1">
        <v>3.0044365513074305E-5</v>
      </c>
    </row>
    <row r="38" spans="21:22" x14ac:dyDescent="0.35">
      <c r="U38" s="3" t="s">
        <v>118</v>
      </c>
      <c r="V38" s="1">
        <v>1.908643673209219E-4</v>
      </c>
    </row>
    <row r="39" spans="21:22" x14ac:dyDescent="0.35">
      <c r="U39" s="3" t="s">
        <v>43</v>
      </c>
      <c r="V39" s="1">
        <v>2.9436591010071149E-3</v>
      </c>
    </row>
    <row r="40" spans="21:22" x14ac:dyDescent="0.35">
      <c r="U40" s="3" t="s">
        <v>184</v>
      </c>
      <c r="V40" s="1">
        <v>0.16732438006919667</v>
      </c>
    </row>
    <row r="41" spans="21:22" x14ac:dyDescent="0.35">
      <c r="U41" s="3" t="s">
        <v>35</v>
      </c>
      <c r="V41" s="1">
        <v>3.7454255670938811E-3</v>
      </c>
    </row>
    <row r="42" spans="21:22" x14ac:dyDescent="0.35">
      <c r="U42" s="3" t="s">
        <v>167</v>
      </c>
      <c r="V42" s="1">
        <v>1.4341566062066214E-5</v>
      </c>
    </row>
    <row r="43" spans="21:22" x14ac:dyDescent="0.35">
      <c r="U43" s="3" t="s">
        <v>129</v>
      </c>
      <c r="V43" s="1">
        <v>1.3735493100799237E-4</v>
      </c>
    </row>
    <row r="44" spans="21:22" x14ac:dyDescent="0.35">
      <c r="U44" s="3" t="s">
        <v>70</v>
      </c>
      <c r="V44" s="1">
        <v>8.8427503513197525E-4</v>
      </c>
    </row>
    <row r="45" spans="21:22" x14ac:dyDescent="0.35">
      <c r="U45" s="3" t="s">
        <v>66</v>
      </c>
      <c r="V45" s="1">
        <v>9.1666104617721747E-4</v>
      </c>
    </row>
    <row r="46" spans="21:22" x14ac:dyDescent="0.35">
      <c r="U46" s="3" t="s">
        <v>214</v>
      </c>
      <c r="V46" s="1">
        <v>3.4969113452353316E-4</v>
      </c>
    </row>
    <row r="47" spans="21:22" x14ac:dyDescent="0.35">
      <c r="U47" s="3" t="s">
        <v>38</v>
      </c>
      <c r="V47" s="1">
        <v>3.3798614789457221E-3</v>
      </c>
    </row>
    <row r="48" spans="21:22" x14ac:dyDescent="0.35">
      <c r="U48" s="3" t="s">
        <v>34</v>
      </c>
      <c r="V48" s="1">
        <v>4.051703079605804E-3</v>
      </c>
    </row>
    <row r="49" spans="21:22" x14ac:dyDescent="0.35">
      <c r="U49" s="3" t="s">
        <v>150</v>
      </c>
      <c r="V49" s="1">
        <v>4.0537206219501282E-5</v>
      </c>
    </row>
    <row r="50" spans="21:22" x14ac:dyDescent="0.35">
      <c r="U50" s="3" t="s">
        <v>174</v>
      </c>
      <c r="V50" s="1">
        <v>6.4091405396013417E-6</v>
      </c>
    </row>
    <row r="51" spans="21:22" x14ac:dyDescent="0.35">
      <c r="U51" s="3" t="s">
        <v>60</v>
      </c>
      <c r="V51" s="1">
        <v>1.1209108751560678E-3</v>
      </c>
    </row>
    <row r="52" spans="21:22" x14ac:dyDescent="0.35">
      <c r="U52" s="3" t="s">
        <v>77</v>
      </c>
      <c r="V52" s="1">
        <v>7.140479382969758E-4</v>
      </c>
    </row>
    <row r="53" spans="21:22" x14ac:dyDescent="0.35">
      <c r="U53" s="3" t="s">
        <v>61</v>
      </c>
      <c r="V53" s="1">
        <v>1.091506613438984E-3</v>
      </c>
    </row>
    <row r="54" spans="21:22" x14ac:dyDescent="0.35">
      <c r="U54" s="3" t="s">
        <v>40</v>
      </c>
      <c r="V54" s="1">
        <v>3.2370454092225699E-3</v>
      </c>
    </row>
    <row r="55" spans="21:22" x14ac:dyDescent="0.35">
      <c r="U55" s="3" t="s">
        <v>100</v>
      </c>
      <c r="V55" s="1">
        <v>3.0774407943691347E-4</v>
      </c>
    </row>
    <row r="56" spans="21:22" x14ac:dyDescent="0.35">
      <c r="U56" s="3" t="s">
        <v>135</v>
      </c>
      <c r="V56" s="1">
        <v>1.1427068145385301E-4</v>
      </c>
    </row>
    <row r="57" spans="21:22" x14ac:dyDescent="0.35">
      <c r="U57" s="3" t="s">
        <v>92</v>
      </c>
      <c r="V57" s="1">
        <v>4.1352325736927195E-4</v>
      </c>
    </row>
    <row r="58" spans="21:22" x14ac:dyDescent="0.35">
      <c r="U58" s="3" t="s">
        <v>149</v>
      </c>
      <c r="V58" s="1">
        <v>4.4523675429973928E-5</v>
      </c>
    </row>
    <row r="59" spans="21:22" x14ac:dyDescent="0.35">
      <c r="U59" s="3" t="s">
        <v>64</v>
      </c>
      <c r="V59" s="1">
        <v>1.0188507813042114E-3</v>
      </c>
    </row>
    <row r="60" spans="21:22" x14ac:dyDescent="0.35">
      <c r="U60" s="3" t="s">
        <v>146</v>
      </c>
      <c r="V60" s="1">
        <v>5.4254873644969139E-5</v>
      </c>
    </row>
    <row r="61" spans="21:22" x14ac:dyDescent="0.35">
      <c r="U61" s="3" t="s">
        <v>44</v>
      </c>
      <c r="V61" s="1">
        <v>2.7186909757453814E-3</v>
      </c>
    </row>
    <row r="62" spans="21:22" x14ac:dyDescent="0.35">
      <c r="U62" s="3" t="s">
        <v>5</v>
      </c>
      <c r="V62" s="1">
        <v>2.8833532208451113E-2</v>
      </c>
    </row>
    <row r="63" spans="21:22" x14ac:dyDescent="0.35">
      <c r="U63" s="3" t="s">
        <v>119</v>
      </c>
      <c r="V63" s="1">
        <v>1.8413922617317334E-4</v>
      </c>
    </row>
    <row r="64" spans="21:22" x14ac:dyDescent="0.35">
      <c r="U64" s="3" t="s">
        <v>160</v>
      </c>
      <c r="V64" s="1">
        <v>2.1650092947932724E-5</v>
      </c>
    </row>
    <row r="65" spans="21:22" x14ac:dyDescent="0.35">
      <c r="U65" s="3" t="s">
        <v>215</v>
      </c>
      <c r="V65" s="1">
        <v>3.2553734444951089E-4</v>
      </c>
    </row>
    <row r="66" spans="21:22" x14ac:dyDescent="0.35">
      <c r="U66" s="3" t="s">
        <v>1</v>
      </c>
      <c r="V66" s="1">
        <v>4.3172035495392211E-2</v>
      </c>
    </row>
    <row r="67" spans="21:22" x14ac:dyDescent="0.35">
      <c r="U67" s="3" t="s">
        <v>65</v>
      </c>
      <c r="V67" s="1">
        <v>9.1959418002719934E-4</v>
      </c>
    </row>
    <row r="68" spans="21:22" x14ac:dyDescent="0.35">
      <c r="U68" s="3" t="s">
        <v>48</v>
      </c>
      <c r="V68" s="1">
        <v>2.4699741893944296E-3</v>
      </c>
    </row>
    <row r="69" spans="21:22" x14ac:dyDescent="0.35">
      <c r="U69" s="3" t="s">
        <v>168</v>
      </c>
      <c r="V69" s="1">
        <v>1.2348331456829893E-5</v>
      </c>
    </row>
    <row r="70" spans="21:22" x14ac:dyDescent="0.35">
      <c r="U70" s="3" t="s">
        <v>62</v>
      </c>
      <c r="V70" s="1">
        <v>1.0490085829330308E-3</v>
      </c>
    </row>
    <row r="71" spans="21:22" x14ac:dyDescent="0.35">
      <c r="U71" s="3" t="s">
        <v>106</v>
      </c>
      <c r="V71" s="1">
        <v>2.5054796936226634E-4</v>
      </c>
    </row>
    <row r="72" spans="21:22" x14ac:dyDescent="0.35">
      <c r="U72" s="3" t="s">
        <v>159</v>
      </c>
      <c r="V72" s="1">
        <v>2.2395530279972326E-5</v>
      </c>
    </row>
    <row r="73" spans="21:22" x14ac:dyDescent="0.35">
      <c r="U73" s="3" t="s">
        <v>111</v>
      </c>
      <c r="V73" s="1">
        <v>2.2270750552652653E-4</v>
      </c>
    </row>
    <row r="74" spans="21:22" x14ac:dyDescent="0.35">
      <c r="U74" s="3" t="s">
        <v>105</v>
      </c>
      <c r="V74" s="1">
        <v>2.5196592080908083E-4</v>
      </c>
    </row>
    <row r="75" spans="21:22" x14ac:dyDescent="0.35">
      <c r="U75" s="3" t="s">
        <v>97</v>
      </c>
      <c r="V75" s="1">
        <v>3.3075540577378812E-4</v>
      </c>
    </row>
    <row r="76" spans="21:22" x14ac:dyDescent="0.35">
      <c r="U76" s="3" t="s">
        <v>210</v>
      </c>
      <c r="V76" s="1">
        <v>3.618984810936512E-3</v>
      </c>
    </row>
    <row r="77" spans="21:22" x14ac:dyDescent="0.35">
      <c r="U77" s="3" t="s">
        <v>52</v>
      </c>
      <c r="V77" s="1">
        <v>2.1870159012478329E-3</v>
      </c>
    </row>
    <row r="78" spans="21:22" x14ac:dyDescent="0.35">
      <c r="U78" s="3" t="s">
        <v>96</v>
      </c>
      <c r="V78" s="1">
        <v>3.5168436912876949E-4</v>
      </c>
    </row>
    <row r="79" spans="21:22" x14ac:dyDescent="0.35">
      <c r="U79" s="3" t="s">
        <v>2</v>
      </c>
      <c r="V79" s="1">
        <v>3.6588243850441807E-2</v>
      </c>
    </row>
    <row r="80" spans="21:22" x14ac:dyDescent="0.35">
      <c r="U80" s="3" t="s">
        <v>15</v>
      </c>
      <c r="V80" s="1">
        <v>1.2560910737736316E-2</v>
      </c>
    </row>
    <row r="81" spans="21:22" x14ac:dyDescent="0.35">
      <c r="U81" s="3" t="s">
        <v>41</v>
      </c>
      <c r="V81" s="1">
        <v>3.0436854473552548E-3</v>
      </c>
    </row>
    <row r="82" spans="21:22" x14ac:dyDescent="0.35">
      <c r="U82" s="3" t="s">
        <v>51</v>
      </c>
      <c r="V82" s="1">
        <v>2.2193938097133789E-3</v>
      </c>
    </row>
    <row r="83" spans="21:22" x14ac:dyDescent="0.35">
      <c r="U83" s="3" t="s">
        <v>21</v>
      </c>
      <c r="V83" s="1">
        <v>6.0778422609879161E-3</v>
      </c>
    </row>
    <row r="84" spans="21:22" x14ac:dyDescent="0.35">
      <c r="U84" s="3" t="s">
        <v>24</v>
      </c>
      <c r="V84" s="1">
        <v>5.3996158275273218E-3</v>
      </c>
    </row>
    <row r="85" spans="21:22" x14ac:dyDescent="0.35">
      <c r="U85" s="3" t="s">
        <v>6</v>
      </c>
      <c r="V85" s="1">
        <v>2.1889475562473792E-2</v>
      </c>
    </row>
    <row r="86" spans="21:22" x14ac:dyDescent="0.35">
      <c r="U86" s="3" t="s">
        <v>68</v>
      </c>
      <c r="V86" s="1">
        <v>9.0300009680962222E-4</v>
      </c>
    </row>
    <row r="87" spans="21:22" x14ac:dyDescent="0.35">
      <c r="U87" s="3" t="s">
        <v>117</v>
      </c>
      <c r="V87" s="1">
        <v>1.9553145322586546E-4</v>
      </c>
    </row>
    <row r="88" spans="21:22" x14ac:dyDescent="0.35">
      <c r="U88" s="3" t="s">
        <v>3</v>
      </c>
      <c r="V88" s="1">
        <v>3.6166950219143991E-2</v>
      </c>
    </row>
    <row r="89" spans="21:22" x14ac:dyDescent="0.35">
      <c r="U89" s="3" t="s">
        <v>86</v>
      </c>
      <c r="V89" s="1">
        <v>4.8038574502134562E-4</v>
      </c>
    </row>
    <row r="90" spans="21:22" x14ac:dyDescent="0.35">
      <c r="U90" s="3" t="s">
        <v>47</v>
      </c>
      <c r="V90" s="1">
        <v>2.5909619094163353E-3</v>
      </c>
    </row>
    <row r="91" spans="21:22" x14ac:dyDescent="0.35">
      <c r="U91" s="3" t="s">
        <v>59</v>
      </c>
      <c r="V91" s="1">
        <v>1.1414185043668529E-3</v>
      </c>
    </row>
    <row r="92" spans="21:22" x14ac:dyDescent="0.35">
      <c r="U92" s="3" t="s">
        <v>178</v>
      </c>
      <c r="V92" s="1">
        <v>2.7791848357563341E-6</v>
      </c>
    </row>
    <row r="93" spans="21:22" x14ac:dyDescent="0.35">
      <c r="U93" s="3" t="s">
        <v>136</v>
      </c>
      <c r="V93" s="1">
        <v>1.1422206597567651E-4</v>
      </c>
    </row>
    <row r="94" spans="21:22" x14ac:dyDescent="0.35">
      <c r="U94" s="3" t="s">
        <v>56</v>
      </c>
      <c r="V94" s="1">
        <v>1.3198697195933762E-3</v>
      </c>
    </row>
    <row r="95" spans="21:22" x14ac:dyDescent="0.35">
      <c r="U95" s="3" t="s">
        <v>121</v>
      </c>
      <c r="V95" s="1">
        <v>1.7471592598662926E-4</v>
      </c>
    </row>
    <row r="96" spans="21:22" x14ac:dyDescent="0.35">
      <c r="U96" s="3" t="s">
        <v>127</v>
      </c>
      <c r="V96" s="1">
        <v>1.4407196957604484E-4</v>
      </c>
    </row>
    <row r="97" spans="21:22" x14ac:dyDescent="0.35">
      <c r="U97" s="3" t="s">
        <v>89</v>
      </c>
      <c r="V97" s="1">
        <v>4.2334358396092407E-4</v>
      </c>
    </row>
    <row r="98" spans="21:22" x14ac:dyDescent="0.35">
      <c r="U98" s="3" t="s">
        <v>161</v>
      </c>
      <c r="V98" s="1">
        <v>2.004578216810837E-5</v>
      </c>
    </row>
    <row r="99" spans="21:22" x14ac:dyDescent="0.35">
      <c r="U99" s="3" t="s">
        <v>148</v>
      </c>
      <c r="V99" s="1">
        <v>4.5325830819886105E-5</v>
      </c>
    </row>
    <row r="100" spans="21:22" x14ac:dyDescent="0.35">
      <c r="U100" s="3" t="s">
        <v>94</v>
      </c>
      <c r="V100" s="1">
        <v>3.9835522817820531E-4</v>
      </c>
    </row>
    <row r="101" spans="21:22" x14ac:dyDescent="0.35">
      <c r="U101" s="3" t="s">
        <v>141</v>
      </c>
      <c r="V101" s="1">
        <v>8.1965696205571646E-5</v>
      </c>
    </row>
    <row r="102" spans="21:22" x14ac:dyDescent="0.35">
      <c r="U102" s="3" t="s">
        <v>73</v>
      </c>
      <c r="V102" s="1">
        <v>8.4794306777474088E-4</v>
      </c>
    </row>
    <row r="103" spans="21:22" x14ac:dyDescent="0.35">
      <c r="U103" s="3" t="s">
        <v>72</v>
      </c>
      <c r="V103" s="1">
        <v>8.7311778289046954E-4</v>
      </c>
    </row>
    <row r="104" spans="21:22" x14ac:dyDescent="0.35">
      <c r="U104" s="3" t="s">
        <v>213</v>
      </c>
      <c r="V104" s="1">
        <v>4.4511521560429803E-4</v>
      </c>
    </row>
    <row r="105" spans="21:22" x14ac:dyDescent="0.35">
      <c r="U105" s="3" t="s">
        <v>122</v>
      </c>
      <c r="V105" s="1">
        <v>1.7089150837007827E-4</v>
      </c>
    </row>
    <row r="106" spans="21:22" x14ac:dyDescent="0.35">
      <c r="U106" s="3" t="s">
        <v>126</v>
      </c>
      <c r="V106" s="1">
        <v>1.4467156047355493E-4</v>
      </c>
    </row>
    <row r="107" spans="21:22" x14ac:dyDescent="0.35">
      <c r="U107" s="3" t="s">
        <v>33</v>
      </c>
      <c r="V107" s="1">
        <v>4.0947520855310901E-3</v>
      </c>
    </row>
    <row r="108" spans="21:22" x14ac:dyDescent="0.35">
      <c r="U108" s="3" t="s">
        <v>144</v>
      </c>
      <c r="V108" s="1">
        <v>6.6611307681495113E-5</v>
      </c>
    </row>
    <row r="109" spans="21:22" x14ac:dyDescent="0.35">
      <c r="U109" s="3" t="s">
        <v>110</v>
      </c>
      <c r="V109" s="1">
        <v>2.3074526458504048E-4</v>
      </c>
    </row>
    <row r="110" spans="21:22" x14ac:dyDescent="0.35">
      <c r="U110" s="3" t="s">
        <v>108</v>
      </c>
      <c r="V110" s="1">
        <v>2.4661821820966631E-4</v>
      </c>
    </row>
    <row r="111" spans="21:22" x14ac:dyDescent="0.35">
      <c r="U111" s="3" t="s">
        <v>179</v>
      </c>
      <c r="V111" s="1">
        <v>2.6900564590994256E-6</v>
      </c>
    </row>
    <row r="112" spans="21:22" x14ac:dyDescent="0.35">
      <c r="U112" s="3" t="s">
        <v>138</v>
      </c>
      <c r="V112" s="1">
        <v>1.0415055941344583E-4</v>
      </c>
    </row>
    <row r="113" spans="21:22" x14ac:dyDescent="0.35">
      <c r="U113" s="3" t="s">
        <v>131</v>
      </c>
      <c r="V113" s="1">
        <v>1.3576682538756017E-4</v>
      </c>
    </row>
    <row r="114" spans="21:22" x14ac:dyDescent="0.35">
      <c r="U114" s="3" t="s">
        <v>11</v>
      </c>
      <c r="V114" s="1">
        <v>1.6456331260164079E-2</v>
      </c>
    </row>
    <row r="115" spans="21:22" x14ac:dyDescent="0.35">
      <c r="U115" s="3" t="s">
        <v>176</v>
      </c>
      <c r="V115" s="1">
        <v>4.2052388622668727E-6</v>
      </c>
    </row>
    <row r="116" spans="21:22" x14ac:dyDescent="0.35">
      <c r="U116" s="3" t="s">
        <v>216</v>
      </c>
      <c r="V116" s="1">
        <v>1.7034863553044074E-4</v>
      </c>
    </row>
    <row r="117" spans="21:22" x14ac:dyDescent="0.35">
      <c r="U117" s="3" t="s">
        <v>114</v>
      </c>
      <c r="V117" s="1">
        <v>2.1488041354011074E-4</v>
      </c>
    </row>
    <row r="118" spans="21:22" x14ac:dyDescent="0.35">
      <c r="U118" s="3" t="s">
        <v>140</v>
      </c>
      <c r="V118" s="1">
        <v>8.2881287711228981E-5</v>
      </c>
    </row>
    <row r="119" spans="21:22" x14ac:dyDescent="0.35">
      <c r="U119" s="3" t="s">
        <v>54</v>
      </c>
      <c r="V119" s="1">
        <v>1.5890860325754169E-3</v>
      </c>
    </row>
    <row r="120" spans="21:22" x14ac:dyDescent="0.35">
      <c r="U120" s="3" t="s">
        <v>115</v>
      </c>
      <c r="V120" s="1">
        <v>2.1481559290254207E-4</v>
      </c>
    </row>
    <row r="121" spans="21:22" x14ac:dyDescent="0.35">
      <c r="U121" s="3" t="s">
        <v>84</v>
      </c>
      <c r="V121" s="1">
        <v>5.2805322137339955E-4</v>
      </c>
    </row>
    <row r="122" spans="21:22" x14ac:dyDescent="0.35">
      <c r="U122" s="3" t="s">
        <v>133</v>
      </c>
      <c r="V122" s="1">
        <v>1.3045153310692998E-4</v>
      </c>
    </row>
    <row r="123" spans="21:22" x14ac:dyDescent="0.35">
      <c r="U123" s="3" t="s">
        <v>180</v>
      </c>
      <c r="V123" s="1">
        <v>1.482772084383117E-6</v>
      </c>
    </row>
    <row r="124" spans="21:22" x14ac:dyDescent="0.35">
      <c r="U124" s="3" t="s">
        <v>95</v>
      </c>
      <c r="V124" s="1">
        <v>3.9793389403400899E-4</v>
      </c>
    </row>
    <row r="125" spans="21:22" x14ac:dyDescent="0.35">
      <c r="U125" s="3" t="s">
        <v>16</v>
      </c>
      <c r="V125" s="1">
        <v>1.1449560906621626E-2</v>
      </c>
    </row>
    <row r="126" spans="21:22" x14ac:dyDescent="0.35">
      <c r="U126" s="3" t="s">
        <v>50</v>
      </c>
      <c r="V126" s="1">
        <v>2.2732030414750635E-3</v>
      </c>
    </row>
    <row r="127" spans="21:22" x14ac:dyDescent="0.35">
      <c r="U127" s="3" t="s">
        <v>120</v>
      </c>
      <c r="V127" s="1">
        <v>1.7712239215636577E-4</v>
      </c>
    </row>
    <row r="128" spans="21:22" x14ac:dyDescent="0.35">
      <c r="U128" s="3" t="s">
        <v>116</v>
      </c>
      <c r="V128" s="1">
        <v>2.1155835586471685E-4</v>
      </c>
    </row>
    <row r="129" spans="21:22" x14ac:dyDescent="0.35">
      <c r="U129" s="3" t="s">
        <v>45</v>
      </c>
      <c r="V129" s="1">
        <v>2.7090245981679548E-3</v>
      </c>
    </row>
    <row r="130" spans="21:22" x14ac:dyDescent="0.35">
      <c r="U130" s="3" t="s">
        <v>123</v>
      </c>
      <c r="V130" s="1">
        <v>1.6813663127341016E-4</v>
      </c>
    </row>
    <row r="131" spans="21:22" x14ac:dyDescent="0.35">
      <c r="U131" s="3" t="s">
        <v>29</v>
      </c>
      <c r="V131" s="1">
        <v>4.4377261814865709E-3</v>
      </c>
    </row>
    <row r="132" spans="21:22" x14ac:dyDescent="0.35">
      <c r="U132" s="3" t="s">
        <v>71</v>
      </c>
      <c r="V132" s="1">
        <v>8.8247626243944494E-4</v>
      </c>
    </row>
    <row r="133" spans="21:22" x14ac:dyDescent="0.35">
      <c r="U133" s="3" t="s">
        <v>39</v>
      </c>
      <c r="V133" s="1">
        <v>3.3260684523434298E-3</v>
      </c>
    </row>
    <row r="134" spans="21:22" x14ac:dyDescent="0.35">
      <c r="U134" s="3" t="s">
        <v>177</v>
      </c>
      <c r="V134" s="1">
        <v>2.9331338499819037E-6</v>
      </c>
    </row>
    <row r="135" spans="21:22" x14ac:dyDescent="0.35">
      <c r="U135" s="3" t="s">
        <v>74</v>
      </c>
      <c r="V135" s="1">
        <v>7.7707790575280245E-4</v>
      </c>
    </row>
    <row r="136" spans="21:22" x14ac:dyDescent="0.35">
      <c r="U136" s="3" t="s">
        <v>103</v>
      </c>
      <c r="V136" s="1">
        <v>2.7113662437001229E-4</v>
      </c>
    </row>
    <row r="137" spans="21:22" x14ac:dyDescent="0.35">
      <c r="U137" s="3" t="s">
        <v>90</v>
      </c>
      <c r="V137" s="1">
        <v>4.1865219031689223E-4</v>
      </c>
    </row>
    <row r="138" spans="21:22" x14ac:dyDescent="0.35">
      <c r="U138" s="3" t="s">
        <v>46</v>
      </c>
      <c r="V138" s="1">
        <v>2.6463673493781481E-3</v>
      </c>
    </row>
    <row r="139" spans="21:22" x14ac:dyDescent="0.35">
      <c r="U139" s="3" t="s">
        <v>30</v>
      </c>
      <c r="V139" s="1">
        <v>4.3261455564918179E-3</v>
      </c>
    </row>
    <row r="140" spans="21:22" x14ac:dyDescent="0.35">
      <c r="U140" s="3" t="s">
        <v>18</v>
      </c>
      <c r="V140" s="1">
        <v>8.9935555646232426E-3</v>
      </c>
    </row>
    <row r="141" spans="21:22" x14ac:dyDescent="0.35">
      <c r="U141" s="3" t="s">
        <v>42</v>
      </c>
      <c r="V141" s="1">
        <v>2.9536090688739042E-3</v>
      </c>
    </row>
    <row r="142" spans="21:22" x14ac:dyDescent="0.35">
      <c r="U142" s="3" t="s">
        <v>63</v>
      </c>
      <c r="V142" s="1">
        <v>1.0467884760963042E-3</v>
      </c>
    </row>
    <row r="143" spans="21:22" x14ac:dyDescent="0.35">
      <c r="U143" s="3" t="s">
        <v>53</v>
      </c>
      <c r="V143" s="1">
        <v>1.9376671136805868E-3</v>
      </c>
    </row>
    <row r="144" spans="21:22" x14ac:dyDescent="0.35">
      <c r="U144" s="3" t="s">
        <v>36</v>
      </c>
      <c r="V144" s="1">
        <v>3.6040841668754163E-3</v>
      </c>
    </row>
    <row r="145" spans="21:22" x14ac:dyDescent="0.35">
      <c r="U145" s="3" t="s">
        <v>7</v>
      </c>
      <c r="V145" s="1">
        <v>2.0332783643523311E-2</v>
      </c>
    </row>
    <row r="146" spans="21:22" x14ac:dyDescent="0.35">
      <c r="U146" s="3" t="s">
        <v>134</v>
      </c>
      <c r="V146" s="1">
        <v>1.253631130577901E-4</v>
      </c>
    </row>
    <row r="147" spans="21:22" x14ac:dyDescent="0.35">
      <c r="U147" s="3" t="s">
        <v>171</v>
      </c>
      <c r="V147" s="1">
        <v>9.642069838338302E-6</v>
      </c>
    </row>
    <row r="148" spans="21:22" x14ac:dyDescent="0.35">
      <c r="U148" s="3" t="s">
        <v>158</v>
      </c>
      <c r="V148" s="1">
        <v>2.244414575814882E-5</v>
      </c>
    </row>
    <row r="149" spans="21:22" x14ac:dyDescent="0.35">
      <c r="U149" s="3" t="s">
        <v>170</v>
      </c>
      <c r="V149" s="1">
        <v>1.0525251025211307E-5</v>
      </c>
    </row>
    <row r="150" spans="21:22" x14ac:dyDescent="0.35">
      <c r="U150" s="3" t="s">
        <v>169</v>
      </c>
      <c r="V150" s="1">
        <v>1.0800738734878115E-5</v>
      </c>
    </row>
    <row r="151" spans="21:22" x14ac:dyDescent="0.35">
      <c r="U151" s="3" t="s">
        <v>163</v>
      </c>
      <c r="V151" s="1">
        <v>1.9389473212725678E-5</v>
      </c>
    </row>
    <row r="152" spans="21:22" x14ac:dyDescent="0.35">
      <c r="U152" s="3" t="s">
        <v>173</v>
      </c>
      <c r="V152" s="1">
        <v>9.1154021580929326E-6</v>
      </c>
    </row>
    <row r="153" spans="21:22" x14ac:dyDescent="0.35">
      <c r="U153" s="3" t="s">
        <v>17</v>
      </c>
      <c r="V153" s="1">
        <v>1.0665020524968731E-2</v>
      </c>
    </row>
    <row r="154" spans="21:22" x14ac:dyDescent="0.35">
      <c r="U154" s="3" t="s">
        <v>98</v>
      </c>
      <c r="V154" s="1">
        <v>3.2398975172755911E-4</v>
      </c>
    </row>
    <row r="155" spans="21:22" x14ac:dyDescent="0.35">
      <c r="U155" s="3" t="s">
        <v>67</v>
      </c>
      <c r="V155" s="1">
        <v>9.0836400456842891E-4</v>
      </c>
    </row>
    <row r="156" spans="21:22" x14ac:dyDescent="0.35">
      <c r="U156" s="3" t="s">
        <v>164</v>
      </c>
      <c r="V156" s="1">
        <v>1.8222701736489784E-5</v>
      </c>
    </row>
    <row r="157" spans="21:22" x14ac:dyDescent="0.35">
      <c r="U157" s="3" t="s">
        <v>142</v>
      </c>
      <c r="V157" s="1">
        <v>7.5370196332960406E-5</v>
      </c>
    </row>
    <row r="158" spans="21:22" x14ac:dyDescent="0.35">
      <c r="U158" s="3" t="s">
        <v>25</v>
      </c>
      <c r="V158" s="1">
        <v>4.9119863762576788E-3</v>
      </c>
    </row>
    <row r="159" spans="21:22" x14ac:dyDescent="0.35">
      <c r="U159" s="3" t="s">
        <v>55</v>
      </c>
      <c r="V159" s="1">
        <v>1.3590456924239356E-3</v>
      </c>
    </row>
    <row r="160" spans="21:22" x14ac:dyDescent="0.35">
      <c r="U160" s="3" t="s">
        <v>78</v>
      </c>
      <c r="V160" s="1">
        <v>6.946989779827306E-4</v>
      </c>
    </row>
    <row r="161" spans="21:22" x14ac:dyDescent="0.35">
      <c r="U161" s="3" t="s">
        <v>166</v>
      </c>
      <c r="V161" s="1">
        <v>1.6618390956665427E-5</v>
      </c>
    </row>
    <row r="162" spans="21:22" x14ac:dyDescent="0.35">
      <c r="U162" s="3" t="s">
        <v>137</v>
      </c>
      <c r="V162" s="1">
        <v>1.1272308873190123E-4</v>
      </c>
    </row>
    <row r="163" spans="21:22" x14ac:dyDescent="0.35">
      <c r="U163" s="3" t="s">
        <v>37</v>
      </c>
      <c r="V163" s="1">
        <v>3.5946527641091759E-3</v>
      </c>
    </row>
    <row r="164" spans="21:22" x14ac:dyDescent="0.35">
      <c r="U164" s="3" t="s">
        <v>13</v>
      </c>
      <c r="V164" s="1">
        <v>1.5691593583288411E-2</v>
      </c>
    </row>
    <row r="165" spans="21:22" x14ac:dyDescent="0.35">
      <c r="U165" s="3" t="s">
        <v>147</v>
      </c>
      <c r="V165" s="1">
        <v>4.8882863306466364E-5</v>
      </c>
    </row>
    <row r="166" spans="21:22" x14ac:dyDescent="0.35">
      <c r="U166" s="3" t="s">
        <v>10</v>
      </c>
      <c r="V166" s="1">
        <v>1.6544090300852351E-2</v>
      </c>
    </row>
    <row r="167" spans="21:22" x14ac:dyDescent="0.35">
      <c r="U167" s="3" t="s">
        <v>99</v>
      </c>
      <c r="V167" s="1">
        <v>3.1984123092316483E-4</v>
      </c>
    </row>
    <row r="168" spans="21:22" x14ac:dyDescent="0.35">
      <c r="U168" s="3" t="s">
        <v>151</v>
      </c>
      <c r="V168" s="1">
        <v>3.9459563119922297E-5</v>
      </c>
    </row>
    <row r="169" spans="21:22" x14ac:dyDescent="0.35">
      <c r="U169" s="3" t="s">
        <v>22</v>
      </c>
      <c r="V169" s="1">
        <v>5.7650097615018631E-3</v>
      </c>
    </row>
    <row r="170" spans="21:22" x14ac:dyDescent="0.35">
      <c r="U170" s="3" t="s">
        <v>19</v>
      </c>
      <c r="V170" s="1">
        <v>8.7069349104540172E-3</v>
      </c>
    </row>
    <row r="171" spans="21:22" x14ac:dyDescent="0.35">
      <c r="U171" s="3" t="s">
        <v>209</v>
      </c>
      <c r="V171" s="1">
        <v>7.8712348406000561E-3</v>
      </c>
    </row>
    <row r="172" spans="21:22" x14ac:dyDescent="0.35">
      <c r="U172" s="3" t="s">
        <v>125</v>
      </c>
      <c r="V172" s="1">
        <v>1.5347096202350066E-4</v>
      </c>
    </row>
    <row r="173" spans="21:22" x14ac:dyDescent="0.35">
      <c r="U173" s="3" t="s">
        <v>211</v>
      </c>
      <c r="V173" s="1">
        <v>7.7257287144178051E-4</v>
      </c>
    </row>
    <row r="174" spans="21:22" x14ac:dyDescent="0.35">
      <c r="U174" s="3" t="s">
        <v>28</v>
      </c>
      <c r="V174" s="1">
        <v>4.5496714225676483E-3</v>
      </c>
    </row>
    <row r="175" spans="21:22" x14ac:dyDescent="0.35">
      <c r="U175" s="3" t="s">
        <v>165</v>
      </c>
      <c r="V175" s="1">
        <v>1.7890495968950395E-5</v>
      </c>
    </row>
    <row r="176" spans="21:22" x14ac:dyDescent="0.35">
      <c r="U176" s="3" t="s">
        <v>139</v>
      </c>
      <c r="V176" s="1">
        <v>9.8657010379501824E-5</v>
      </c>
    </row>
    <row r="177" spans="21:22" x14ac:dyDescent="0.35">
      <c r="U177" s="3" t="s">
        <v>175</v>
      </c>
      <c r="V177" s="1">
        <v>4.9911890927868856E-6</v>
      </c>
    </row>
    <row r="178" spans="21:22" x14ac:dyDescent="0.35">
      <c r="U178" s="3" t="s">
        <v>113</v>
      </c>
      <c r="V178" s="1">
        <v>2.1680882750777839E-4</v>
      </c>
    </row>
    <row r="179" spans="21:22" x14ac:dyDescent="0.35">
      <c r="U179" s="3" t="s">
        <v>85</v>
      </c>
      <c r="V179" s="1">
        <v>4.8967130135305623E-4</v>
      </c>
    </row>
    <row r="180" spans="21:22" x14ac:dyDescent="0.35">
      <c r="U180" s="3" t="s">
        <v>14</v>
      </c>
      <c r="V180" s="1">
        <v>1.2770556884792757E-2</v>
      </c>
    </row>
    <row r="181" spans="21:22" x14ac:dyDescent="0.35">
      <c r="U181" s="3" t="s">
        <v>81</v>
      </c>
      <c r="V181" s="1">
        <v>6.2306407088966425E-4</v>
      </c>
    </row>
    <row r="182" spans="21:22" x14ac:dyDescent="0.35">
      <c r="U182" s="3" t="s">
        <v>181</v>
      </c>
      <c r="V182" s="1">
        <v>4.9425736146103907E-7</v>
      </c>
    </row>
    <row r="183" spans="21:22" x14ac:dyDescent="0.35">
      <c r="U183" s="3" t="s">
        <v>82</v>
      </c>
      <c r="V183" s="1">
        <v>5.8708051445936142E-4</v>
      </c>
    </row>
    <row r="184" spans="21:22" x14ac:dyDescent="0.35">
      <c r="U184" s="3" t="s">
        <v>212</v>
      </c>
      <c r="V184" s="1">
        <v>1.8170764200637892E-3</v>
      </c>
    </row>
    <row r="185" spans="21:22" x14ac:dyDescent="0.35">
      <c r="U185" s="3" t="s">
        <v>27</v>
      </c>
      <c r="V185" s="1">
        <v>4.870971117836108E-3</v>
      </c>
    </row>
    <row r="186" spans="21:22" x14ac:dyDescent="0.35">
      <c r="U186" s="3" t="s">
        <v>4</v>
      </c>
      <c r="V186" s="1">
        <v>3.4238576764374813E-2</v>
      </c>
    </row>
    <row r="187" spans="21:22" x14ac:dyDescent="0.35">
      <c r="U187" s="3" t="s">
        <v>0</v>
      </c>
      <c r="V187" s="1">
        <v>0.25783456256489556</v>
      </c>
    </row>
    <row r="188" spans="21:22" x14ac:dyDescent="0.35">
      <c r="U188" s="3" t="s">
        <v>75</v>
      </c>
      <c r="V188" s="1">
        <v>7.3441782365292745E-4</v>
      </c>
    </row>
    <row r="189" spans="21:22" x14ac:dyDescent="0.35">
      <c r="U189" s="3" t="s">
        <v>57</v>
      </c>
      <c r="V189" s="1">
        <v>1.289922585036655E-3</v>
      </c>
    </row>
    <row r="190" spans="21:22" x14ac:dyDescent="0.35">
      <c r="U190" s="3" t="s">
        <v>172</v>
      </c>
      <c r="V190" s="1">
        <v>9.5286337225931457E-6</v>
      </c>
    </row>
    <row r="191" spans="21:22" x14ac:dyDescent="0.35">
      <c r="U191" s="3" t="s">
        <v>80</v>
      </c>
      <c r="V191" s="1">
        <v>6.4752575899213762E-4</v>
      </c>
    </row>
    <row r="192" spans="21:22" x14ac:dyDescent="0.35">
      <c r="U192" s="3" t="s">
        <v>32</v>
      </c>
      <c r="V192" s="1">
        <v>4.1408962769002812E-3</v>
      </c>
    </row>
    <row r="193" spans="21:22" x14ac:dyDescent="0.35">
      <c r="U193" s="3" t="s">
        <v>128</v>
      </c>
      <c r="V193" s="1">
        <v>1.3968847396046415E-4</v>
      </c>
    </row>
    <row r="194" spans="21:22" x14ac:dyDescent="0.35">
      <c r="U194" s="3" t="s">
        <v>102</v>
      </c>
      <c r="V194" s="1">
        <v>2.750420677835241E-4</v>
      </c>
    </row>
    <row r="195" spans="21:22" x14ac:dyDescent="0.35">
      <c r="U195" s="3" t="s">
        <v>88</v>
      </c>
      <c r="V195" s="1">
        <v>4.4915840287264324E-4</v>
      </c>
    </row>
    <row r="196" spans="21:22" x14ac:dyDescent="0.35">
      <c r="U196" s="3" t="s">
        <v>190</v>
      </c>
      <c r="V196" s="1">
        <v>0.99999999999999989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0E0FA-75F1-4D4C-9618-A51E0621BFB0}">
  <dimension ref="A1:G192"/>
  <sheetViews>
    <sheetView topLeftCell="A115" workbookViewId="0">
      <selection activeCell="B3" sqref="B3"/>
    </sheetView>
  </sheetViews>
  <sheetFormatPr defaultRowHeight="14.5" x14ac:dyDescent="0.35"/>
  <cols>
    <col min="1" max="1" width="7.26953125" bestFit="1" customWidth="1"/>
    <col min="2" max="2" width="28.7265625" bestFit="1" customWidth="1"/>
    <col min="3" max="3" width="11.1796875" bestFit="1" customWidth="1"/>
    <col min="4" max="4" width="13.90625" style="1" bestFit="1" customWidth="1"/>
    <col min="5" max="5" width="12.54296875" bestFit="1" customWidth="1"/>
    <col min="6" max="6" width="21.08984375" bestFit="1" customWidth="1"/>
    <col min="7" max="7" width="19.54296875" bestFit="1" customWidth="1"/>
  </cols>
  <sheetData>
    <row r="1" spans="1:7" x14ac:dyDescent="0.35">
      <c r="A1" t="s">
        <v>185</v>
      </c>
      <c r="B1" t="s">
        <v>182</v>
      </c>
      <c r="C1" t="s">
        <v>183</v>
      </c>
      <c r="D1" s="1" t="s">
        <v>186</v>
      </c>
      <c r="E1" s="1" t="s">
        <v>187</v>
      </c>
      <c r="F1" s="1" t="s">
        <v>188</v>
      </c>
      <c r="G1" s="1" t="s">
        <v>197</v>
      </c>
    </row>
    <row r="2" spans="1:7" x14ac:dyDescent="0.35">
      <c r="A2">
        <f>_xlfn.RANK.EQ(Country_GDP[[#This Row],[GDP_USD]],Country_GDP[GDP_USD])</f>
        <v>1</v>
      </c>
      <c r="B2" t="s">
        <v>0</v>
      </c>
      <c r="C2">
        <v>31821293</v>
      </c>
      <c r="D2" s="1">
        <f>Country_GDP[[#This Row],[GDP_USD]]/SUM(GDP_USD)</f>
        <v>0.25783456256489556</v>
      </c>
      <c r="E2" t="str">
        <f>IF(Country_GDP[[#This Row],[GDP_USD]]&gt;=1000000,"T1",
 IF(Country_GDP[[#This Row],[GDP_USD]]&gt;=500000,"T2",
 IF(Country_GDP[[#This Row],[GDP_USD]]&gt;=100000,"T3",
 "T4")))</f>
        <v>T1</v>
      </c>
      <c r="F2" s="1">
        <f>Country_GDP[[#This Row],[GDP_USD]]/MAX(GDP_USD)</f>
        <v>1</v>
      </c>
      <c r="G2" s="1">
        <f>Country_GDP[[#This Row],[GDP_USD]]/SUM(GDP_USD)</f>
        <v>0.25783456256489556</v>
      </c>
    </row>
    <row r="3" spans="1:7" x14ac:dyDescent="0.35">
      <c r="A3">
        <f>_xlfn.RANK.EQ(Country_GDP[[#This Row],[GDP_USD]],Country_GDP[GDP_USD])</f>
        <v>2</v>
      </c>
      <c r="B3" t="s">
        <v>200</v>
      </c>
      <c r="C3">
        <v>20650754</v>
      </c>
      <c r="D3" s="1">
        <f>Country_GDP[[#This Row],[GDP_USD]]/SUM(GDP_USD)</f>
        <v>0.16732438006919667</v>
      </c>
      <c r="E3" t="str">
        <f>IF(Country_GDP[[#This Row],[GDP_USD]]&gt;=1000000,"T1",
 IF(Country_GDP[[#This Row],[GDP_USD]]&gt;=500000,"T2",
 IF(Country_GDP[[#This Row],[GDP_USD]]&gt;=100000,"T3",
 "T4")))</f>
        <v>T1</v>
      </c>
      <c r="F3" s="1">
        <f>Country_GDP[[#This Row],[GDP_USD]]/MAX(GDP_USD)</f>
        <v>0.6489602418104129</v>
      </c>
      <c r="G3" s="1">
        <f>Country_GDP[[#This Row],[GDP_USD]]/SUM(GDP_USD)</f>
        <v>0.16732438006919667</v>
      </c>
    </row>
    <row r="4" spans="1:7" x14ac:dyDescent="0.35">
      <c r="A4">
        <f>_xlfn.RANK.EQ(Country_GDP[[#This Row],[GDP_USD]],Country_GDP[GDP_USD])</f>
        <v>3</v>
      </c>
      <c r="B4" t="s">
        <v>1</v>
      </c>
      <c r="C4">
        <v>5328184</v>
      </c>
      <c r="D4" s="1">
        <f>Country_GDP[[#This Row],[GDP_USD]]/SUM(GDP_USD)</f>
        <v>4.3172035495392211E-2</v>
      </c>
      <c r="E4" t="str">
        <f>IF(Country_GDP[[#This Row],[GDP_USD]]&gt;=1000000,"T1",
 IF(Country_GDP[[#This Row],[GDP_USD]]&gt;=500000,"T2",
 IF(Country_GDP[[#This Row],[GDP_USD]]&gt;=100000,"T3",
 "T4")))</f>
        <v>T1</v>
      </c>
      <c r="F4" s="1">
        <f>Country_GDP[[#This Row],[GDP_USD]]/MAX(GDP_USD)</f>
        <v>0.16744083906332782</v>
      </c>
      <c r="G4" s="1">
        <f>Country_GDP[[#This Row],[GDP_USD]]/SUM(GDP_USD)</f>
        <v>4.3172035495392211E-2</v>
      </c>
    </row>
    <row r="5" spans="1:7" x14ac:dyDescent="0.35">
      <c r="A5">
        <f>_xlfn.RANK.EQ(Country_GDP[[#This Row],[GDP_USD]],Country_GDP[GDP_USD])</f>
        <v>4</v>
      </c>
      <c r="B5" t="s">
        <v>2</v>
      </c>
      <c r="C5">
        <v>4515629</v>
      </c>
      <c r="D5" s="1">
        <f>Country_GDP[[#This Row],[GDP_USD]]/SUM(GDP_USD)</f>
        <v>3.6588243850441807E-2</v>
      </c>
      <c r="E5" t="str">
        <f>IF(Country_GDP[[#This Row],[GDP_USD]]&gt;=1000000,"T1",
 IF(Country_GDP[[#This Row],[GDP_USD]]&gt;=500000,"T2",
 IF(Country_GDP[[#This Row],[GDP_USD]]&gt;=100000,"T3",
 "T4")))</f>
        <v>T1</v>
      </c>
      <c r="F5" s="1">
        <f>Country_GDP[[#This Row],[GDP_USD]]/MAX(GDP_USD)</f>
        <v>0.14190589301320974</v>
      </c>
      <c r="G5" s="1">
        <f>Country_GDP[[#This Row],[GDP_USD]]/SUM(GDP_USD)</f>
        <v>3.6588243850441807E-2</v>
      </c>
    </row>
    <row r="6" spans="1:7" x14ac:dyDescent="0.35">
      <c r="A6">
        <f>_xlfn.RANK.EQ(Country_GDP[[#This Row],[GDP_USD]],Country_GDP[GDP_USD])</f>
        <v>5</v>
      </c>
      <c r="B6" t="s">
        <v>3</v>
      </c>
      <c r="C6">
        <v>4463634</v>
      </c>
      <c r="D6" s="1">
        <f>Country_GDP[[#This Row],[GDP_USD]]/SUM(GDP_USD)</f>
        <v>3.6166950219143991E-2</v>
      </c>
      <c r="E6" t="str">
        <f>IF(Country_GDP[[#This Row],[GDP_USD]]&gt;=1000000,"T1",
 IF(Country_GDP[[#This Row],[GDP_USD]]&gt;=500000,"T2",
 IF(Country_GDP[[#This Row],[GDP_USD]]&gt;=100000,"T3",
 "T4")))</f>
        <v>T1</v>
      </c>
      <c r="F6" s="1">
        <f>Country_GDP[[#This Row],[GDP_USD]]/MAX(GDP_USD)</f>
        <v>0.14027192421125062</v>
      </c>
      <c r="G6" s="1">
        <f>Country_GDP[[#This Row],[GDP_USD]]/SUM(GDP_USD)</f>
        <v>3.6166950219143991E-2</v>
      </c>
    </row>
    <row r="7" spans="1:7" x14ac:dyDescent="0.35">
      <c r="A7">
        <f>_xlfn.RANK.EQ(Country_GDP[[#This Row],[GDP_USD]],Country_GDP[GDP_USD])</f>
        <v>6</v>
      </c>
      <c r="B7" t="s">
        <v>4</v>
      </c>
      <c r="C7">
        <v>4225639</v>
      </c>
      <c r="D7" s="1">
        <f>Country_GDP[[#This Row],[GDP_USD]]/SUM(GDP_USD)</f>
        <v>3.4238576764374813E-2</v>
      </c>
      <c r="E7" t="str">
        <f>IF(Country_GDP[[#This Row],[GDP_USD]]&gt;=1000000,"T1",
 IF(Country_GDP[[#This Row],[GDP_USD]]&gt;=500000,"T2",
 IF(Country_GDP[[#This Row],[GDP_USD]]&gt;=100000,"T3",
 "T4")))</f>
        <v>T1</v>
      </c>
      <c r="F7" s="1">
        <f>Country_GDP[[#This Row],[GDP_USD]]/MAX(GDP_USD)</f>
        <v>0.13279281266163509</v>
      </c>
      <c r="G7" s="1">
        <f>Country_GDP[[#This Row],[GDP_USD]]/SUM(GDP_USD)</f>
        <v>3.4238576764374813E-2</v>
      </c>
    </row>
    <row r="8" spans="1:7" x14ac:dyDescent="0.35">
      <c r="A8">
        <f>_xlfn.RANK.EQ(Country_GDP[[#This Row],[GDP_USD]],Country_GDP[GDP_USD])</f>
        <v>7</v>
      </c>
      <c r="B8" t="s">
        <v>5</v>
      </c>
      <c r="C8">
        <v>3558562</v>
      </c>
      <c r="D8" s="1">
        <f>Country_GDP[[#This Row],[GDP_USD]]/SUM(GDP_USD)</f>
        <v>2.8833532208451113E-2</v>
      </c>
      <c r="E8" t="str">
        <f>IF(Country_GDP[[#This Row],[GDP_USD]]&gt;=1000000,"T1",
 IF(Country_GDP[[#This Row],[GDP_USD]]&gt;=500000,"T2",
 IF(Country_GDP[[#This Row],[GDP_USD]]&gt;=100000,"T3",
 "T4")))</f>
        <v>T1</v>
      </c>
      <c r="F8" s="1">
        <f>Country_GDP[[#This Row],[GDP_USD]]/MAX(GDP_USD)</f>
        <v>0.11182958530314906</v>
      </c>
      <c r="G8" s="1">
        <f>Country_GDP[[#This Row],[GDP_USD]]/SUM(GDP_USD)</f>
        <v>2.8833532208451113E-2</v>
      </c>
    </row>
    <row r="9" spans="1:7" x14ac:dyDescent="0.35">
      <c r="A9">
        <f>_xlfn.RANK.EQ(Country_GDP[[#This Row],[GDP_USD]],Country_GDP[GDP_USD])</f>
        <v>8</v>
      </c>
      <c r="B9" t="s">
        <v>6</v>
      </c>
      <c r="C9">
        <v>2701544</v>
      </c>
      <c r="D9" s="1">
        <f>Country_GDP[[#This Row],[GDP_USD]]/SUM(GDP_USD)</f>
        <v>2.1889475562473792E-2</v>
      </c>
      <c r="E9" t="str">
        <f>IF(Country_GDP[[#This Row],[GDP_USD]]&gt;=1000000,"T1",
 IF(Country_GDP[[#This Row],[GDP_USD]]&gt;=500000,"T2",
 IF(Country_GDP[[#This Row],[GDP_USD]]&gt;=100000,"T3",
 "T4")))</f>
        <v>T1</v>
      </c>
      <c r="F9" s="1">
        <f>Country_GDP[[#This Row],[GDP_USD]]/MAX(GDP_USD)</f>
        <v>8.4897367306853308E-2</v>
      </c>
      <c r="G9" s="1">
        <f>Country_GDP[[#This Row],[GDP_USD]]/SUM(GDP_USD)</f>
        <v>2.1889475562473792E-2</v>
      </c>
    </row>
    <row r="10" spans="1:7" x14ac:dyDescent="0.35">
      <c r="A10">
        <f>_xlfn.RANK.EQ(Country_GDP[[#This Row],[GDP_USD]],Country_GDP[GDP_USD])</f>
        <v>9</v>
      </c>
      <c r="B10" t="s">
        <v>7</v>
      </c>
      <c r="C10">
        <v>2509421</v>
      </c>
      <c r="D10" s="1">
        <f>Country_GDP[[#This Row],[GDP_USD]]/SUM(GDP_USD)</f>
        <v>2.0332783643523311E-2</v>
      </c>
      <c r="E10" t="str">
        <f>IF(Country_GDP[[#This Row],[GDP_USD]]&gt;=1000000,"T1",
 IF(Country_GDP[[#This Row],[GDP_USD]]&gt;=500000,"T2",
 IF(Country_GDP[[#This Row],[GDP_USD]]&gt;=100000,"T3",
 "T4")))</f>
        <v>T1</v>
      </c>
      <c r="F10" s="1">
        <f>Country_GDP[[#This Row],[GDP_USD]]/MAX(GDP_USD)</f>
        <v>7.8859806231003873E-2</v>
      </c>
      <c r="G10" s="1">
        <f>Country_GDP[[#This Row],[GDP_USD]]/SUM(GDP_USD)</f>
        <v>2.0332783643523311E-2</v>
      </c>
    </row>
    <row r="11" spans="1:7" x14ac:dyDescent="0.35">
      <c r="A11">
        <f>_xlfn.RANK.EQ(Country_GDP[[#This Row],[GDP_USD]],Country_GDP[GDP_USD])</f>
        <v>10</v>
      </c>
      <c r="B11" t="s">
        <v>8</v>
      </c>
      <c r="C11">
        <v>2420837</v>
      </c>
      <c r="D11" s="1">
        <f>Country_GDP[[#This Row],[GDP_USD]]/SUM(GDP_USD)</f>
        <v>1.9615024723725529E-2</v>
      </c>
      <c r="E11" t="str">
        <f>IF(Country_GDP[[#This Row],[GDP_USD]]&gt;=1000000,"T1",
 IF(Country_GDP[[#This Row],[GDP_USD]]&gt;=500000,"T2",
 IF(Country_GDP[[#This Row],[GDP_USD]]&gt;=100000,"T3",
 "T4")))</f>
        <v>T1</v>
      </c>
      <c r="F11" s="1">
        <f>Country_GDP[[#This Row],[GDP_USD]]/MAX(GDP_USD)</f>
        <v>7.6076009859184543E-2</v>
      </c>
      <c r="G11" s="1">
        <f>Country_GDP[[#This Row],[GDP_USD]]/SUM(GDP_USD)</f>
        <v>1.9615024723725529E-2</v>
      </c>
    </row>
    <row r="12" spans="1:7" x14ac:dyDescent="0.35">
      <c r="A12">
        <f>_xlfn.RANK.EQ(Country_GDP[[#This Row],[GDP_USD]],Country_GDP[GDP_USD])</f>
        <v>11</v>
      </c>
      <c r="B12" t="s">
        <v>9</v>
      </c>
      <c r="C12">
        <v>2292690</v>
      </c>
      <c r="D12" s="1">
        <f>Country_GDP[[#This Row],[GDP_USD]]/SUM(GDP_USD)</f>
        <v>1.857670344341163E-2</v>
      </c>
      <c r="E12" t="str">
        <f>IF(Country_GDP[[#This Row],[GDP_USD]]&gt;=1000000,"T1",
 IF(Country_GDP[[#This Row],[GDP_USD]]&gt;=500000,"T2",
 IF(Country_GDP[[#This Row],[GDP_USD]]&gt;=100000,"T3",
 "T4")))</f>
        <v>T1</v>
      </c>
      <c r="F12" s="1">
        <f>Country_GDP[[#This Row],[GDP_USD]]/MAX(GDP_USD)</f>
        <v>7.2048926484539769E-2</v>
      </c>
      <c r="G12" s="1">
        <f>Country_GDP[[#This Row],[GDP_USD]]/SUM(GDP_USD)</f>
        <v>1.857670344341163E-2</v>
      </c>
    </row>
    <row r="13" spans="1:7" x14ac:dyDescent="0.35">
      <c r="A13">
        <f>_xlfn.RANK.EQ(Country_GDP[[#This Row],[GDP_USD]],Country_GDP[GDP_USD])</f>
        <v>12</v>
      </c>
      <c r="B13" t="s">
        <v>10</v>
      </c>
      <c r="C13">
        <v>2041830</v>
      </c>
      <c r="D13" s="1">
        <f>Country_GDP[[#This Row],[GDP_USD]]/SUM(GDP_USD)</f>
        <v>1.6544090300852351E-2</v>
      </c>
      <c r="E13" t="str">
        <f>IF(Country_GDP[[#This Row],[GDP_USD]]&gt;=1000000,"T1",
 IF(Country_GDP[[#This Row],[GDP_USD]]&gt;=500000,"T2",
 IF(Country_GDP[[#This Row],[GDP_USD]]&gt;=100000,"T3",
 "T4")))</f>
        <v>T1</v>
      </c>
      <c r="F13" s="1">
        <f>Country_GDP[[#This Row],[GDP_USD]]/MAX(GDP_USD)</f>
        <v>6.4165525894877992E-2</v>
      </c>
      <c r="G13" s="1">
        <f>Country_GDP[[#This Row],[GDP_USD]]/SUM(GDP_USD)</f>
        <v>1.6544090300852351E-2</v>
      </c>
    </row>
    <row r="14" spans="1:7" x14ac:dyDescent="0.35">
      <c r="A14">
        <f>_xlfn.RANK.EQ(Country_GDP[[#This Row],[GDP_USD]],Country_GDP[GDP_USD])</f>
        <v>13</v>
      </c>
      <c r="B14" t="s">
        <v>11</v>
      </c>
      <c r="C14">
        <v>2030999</v>
      </c>
      <c r="D14" s="1">
        <f>Country_GDP[[#This Row],[GDP_USD]]/SUM(GDP_USD)</f>
        <v>1.6456331260164079E-2</v>
      </c>
      <c r="E14" t="str">
        <f>IF(Country_GDP[[#This Row],[GDP_USD]]&gt;=1000000,"T1",
 IF(Country_GDP[[#This Row],[GDP_USD]]&gt;=500000,"T2",
 IF(Country_GDP[[#This Row],[GDP_USD]]&gt;=100000,"T3",
 "T4")))</f>
        <v>T1</v>
      </c>
      <c r="F14" s="1">
        <f>Country_GDP[[#This Row],[GDP_USD]]/MAX(GDP_USD)</f>
        <v>6.3825156319072263E-2</v>
      </c>
      <c r="G14" s="1">
        <f>Country_GDP[[#This Row],[GDP_USD]]/SUM(GDP_USD)</f>
        <v>1.6456331260164079E-2</v>
      </c>
    </row>
    <row r="15" spans="1:7" x14ac:dyDescent="0.35">
      <c r="A15">
        <f>_xlfn.RANK.EQ(Country_GDP[[#This Row],[GDP_USD]],Country_GDP[GDP_USD])</f>
        <v>14</v>
      </c>
      <c r="B15" t="s">
        <v>12</v>
      </c>
      <c r="C15">
        <v>1948227</v>
      </c>
      <c r="D15" s="1">
        <f>Country_GDP[[#This Row],[GDP_USD]]/SUM(GDP_USD)</f>
        <v>1.578566453355993E-2</v>
      </c>
      <c r="E15" t="str">
        <f>IF(Country_GDP[[#This Row],[GDP_USD]]&gt;=1000000,"T1",
 IF(Country_GDP[[#This Row],[GDP_USD]]&gt;=500000,"T2",
 IF(Country_GDP[[#This Row],[GDP_USD]]&gt;=100000,"T3",
 "T4")))</f>
        <v>T1</v>
      </c>
      <c r="F15" s="1">
        <f>Country_GDP[[#This Row],[GDP_USD]]/MAX(GDP_USD)</f>
        <v>6.1224004945367873E-2</v>
      </c>
      <c r="G15" s="1">
        <f>Country_GDP[[#This Row],[GDP_USD]]/SUM(GDP_USD)</f>
        <v>1.578566453355993E-2</v>
      </c>
    </row>
    <row r="16" spans="1:7" x14ac:dyDescent="0.35">
      <c r="A16">
        <f>_xlfn.RANK.EQ(Country_GDP[[#This Row],[GDP_USD]],Country_GDP[GDP_USD])</f>
        <v>15</v>
      </c>
      <c r="B16" t="s">
        <v>13</v>
      </c>
      <c r="C16">
        <v>1936617</v>
      </c>
      <c r="D16" s="1">
        <f>Country_GDP[[#This Row],[GDP_USD]]/SUM(GDP_USD)</f>
        <v>1.5691593583288411E-2</v>
      </c>
      <c r="E16" t="str">
        <f>IF(Country_GDP[[#This Row],[GDP_USD]]&gt;=1000000,"T1",
 IF(Country_GDP[[#This Row],[GDP_USD]]&gt;=500000,"T2",
 IF(Country_GDP[[#This Row],[GDP_USD]]&gt;=100000,"T3",
 "T4")))</f>
        <v>T1</v>
      </c>
      <c r="F16" s="1">
        <f>Country_GDP[[#This Row],[GDP_USD]]/MAX(GDP_USD)</f>
        <v>6.0859154906118991E-2</v>
      </c>
      <c r="G16" s="1">
        <f>Country_GDP[[#This Row],[GDP_USD]]/SUM(GDP_USD)</f>
        <v>1.5691593583288411E-2</v>
      </c>
    </row>
    <row r="17" spans="1:7" x14ac:dyDescent="0.35">
      <c r="A17">
        <f>_xlfn.RANK.EQ(Country_GDP[[#This Row],[GDP_USD]],Country_GDP[GDP_USD])</f>
        <v>16</v>
      </c>
      <c r="B17" t="s">
        <v>14</v>
      </c>
      <c r="C17">
        <v>1576110</v>
      </c>
      <c r="D17" s="1">
        <f>Country_GDP[[#This Row],[GDP_USD]]/SUM(GDP_USD)</f>
        <v>1.2770556884792757E-2</v>
      </c>
      <c r="E17" t="str">
        <f>IF(Country_GDP[[#This Row],[GDP_USD]]&gt;=1000000,"T1",
 IF(Country_GDP[[#This Row],[GDP_USD]]&gt;=500000,"T2",
 IF(Country_GDP[[#This Row],[GDP_USD]]&gt;=100000,"T3",
 "T4")))</f>
        <v>T1</v>
      </c>
      <c r="F17" s="1">
        <f>Country_GDP[[#This Row],[GDP_USD]]/MAX(GDP_USD)</f>
        <v>4.9530042666713764E-2</v>
      </c>
      <c r="G17" s="1">
        <f>Country_GDP[[#This Row],[GDP_USD]]/SUM(GDP_USD)</f>
        <v>1.2770556884792757E-2</v>
      </c>
    </row>
    <row r="18" spans="1:7" x14ac:dyDescent="0.35">
      <c r="A18">
        <f>_xlfn.RANK.EQ(Country_GDP[[#This Row],[GDP_USD]],Country_GDP[GDP_USD])</f>
        <v>17</v>
      </c>
      <c r="B18" t="s">
        <v>15</v>
      </c>
      <c r="C18">
        <v>1550236</v>
      </c>
      <c r="D18" s="1">
        <f>Country_GDP[[#This Row],[GDP_USD]]/SUM(GDP_USD)</f>
        <v>1.2560910737736316E-2</v>
      </c>
      <c r="E18" t="str">
        <f>IF(Country_GDP[[#This Row],[GDP_USD]]&gt;=1000000,"T1",
 IF(Country_GDP[[#This Row],[GDP_USD]]&gt;=500000,"T2",
 IF(Country_GDP[[#This Row],[GDP_USD]]&gt;=100000,"T3",
 "T4")))</f>
        <v>T1</v>
      </c>
      <c r="F18" s="1">
        <f>Country_GDP[[#This Row],[GDP_USD]]/MAX(GDP_USD)</f>
        <v>4.8716939314816653E-2</v>
      </c>
      <c r="G18" s="1">
        <f>Country_GDP[[#This Row],[GDP_USD]]/SUM(GDP_USD)</f>
        <v>1.2560910737736316E-2</v>
      </c>
    </row>
    <row r="19" spans="1:7" x14ac:dyDescent="0.35">
      <c r="A19">
        <f>_xlfn.RANK.EQ(Country_GDP[[#This Row],[GDP_USD]],Country_GDP[GDP_USD])</f>
        <v>18</v>
      </c>
      <c r="B19" t="s">
        <v>16</v>
      </c>
      <c r="C19">
        <v>1413076</v>
      </c>
      <c r="D19" s="1">
        <f>Country_GDP[[#This Row],[GDP_USD]]/SUM(GDP_USD)</f>
        <v>1.1449560906621626E-2</v>
      </c>
      <c r="E19" t="str">
        <f>IF(Country_GDP[[#This Row],[GDP_USD]]&gt;=1000000,"T1",
 IF(Country_GDP[[#This Row],[GDP_USD]]&gt;=500000,"T2",
 IF(Country_GDP[[#This Row],[GDP_USD]]&gt;=100000,"T3",
 "T4")))</f>
        <v>T1</v>
      </c>
      <c r="F19" s="1">
        <f>Country_GDP[[#This Row],[GDP_USD]]/MAX(GDP_USD)</f>
        <v>4.4406617920899692E-2</v>
      </c>
      <c r="G19" s="1">
        <f>Country_GDP[[#This Row],[GDP_USD]]/SUM(GDP_USD)</f>
        <v>1.1449560906621626E-2</v>
      </c>
    </row>
    <row r="20" spans="1:7" x14ac:dyDescent="0.35">
      <c r="A20">
        <f>_xlfn.RANK.EQ(Country_GDP[[#This Row],[GDP_USD]],Country_GDP[GDP_USD])</f>
        <v>19</v>
      </c>
      <c r="B20" t="s">
        <v>17</v>
      </c>
      <c r="C20">
        <v>1316250</v>
      </c>
      <c r="D20" s="1">
        <f>Country_GDP[[#This Row],[GDP_USD]]/SUM(GDP_USD)</f>
        <v>1.0665020524968731E-2</v>
      </c>
      <c r="E20" t="str">
        <f>IF(Country_GDP[[#This Row],[GDP_USD]]&gt;=1000000,"T1",
 IF(Country_GDP[[#This Row],[GDP_USD]]&gt;=500000,"T2",
 IF(Country_GDP[[#This Row],[GDP_USD]]&gt;=100000,"T3",
 "T4")))</f>
        <v>T1</v>
      </c>
      <c r="F20" s="1">
        <f>Country_GDP[[#This Row],[GDP_USD]]/MAX(GDP_USD)</f>
        <v>4.1363812589262167E-2</v>
      </c>
      <c r="G20" s="1">
        <f>Country_GDP[[#This Row],[GDP_USD]]/SUM(GDP_USD)</f>
        <v>1.0665020524968731E-2</v>
      </c>
    </row>
    <row r="21" spans="1:7" x14ac:dyDescent="0.35">
      <c r="A21">
        <f>_xlfn.RANK.EQ(Country_GDP[[#This Row],[GDP_USD]],Country_GDP[GDP_USD])</f>
        <v>20</v>
      </c>
      <c r="B21" t="s">
        <v>18</v>
      </c>
      <c r="C21">
        <v>1109962</v>
      </c>
      <c r="D21" s="1">
        <f>Country_GDP[[#This Row],[GDP_USD]]/SUM(GDP_USD)</f>
        <v>8.9935555646232426E-3</v>
      </c>
      <c r="E21" t="str">
        <f>IF(Country_GDP[[#This Row],[GDP_USD]]&gt;=1000000,"T1",
 IF(Country_GDP[[#This Row],[GDP_USD]]&gt;=500000,"T2",
 IF(Country_GDP[[#This Row],[GDP_USD]]&gt;=100000,"T3",
 "T4")))</f>
        <v>T1</v>
      </c>
      <c r="F21" s="1">
        <f>Country_GDP[[#This Row],[GDP_USD]]/MAX(GDP_USD)</f>
        <v>3.4881109325130187E-2</v>
      </c>
      <c r="G21" s="1">
        <f>Country_GDP[[#This Row],[GDP_USD]]/SUM(GDP_USD)</f>
        <v>8.9935555646232426E-3</v>
      </c>
    </row>
    <row r="22" spans="1:7" x14ac:dyDescent="0.35">
      <c r="A22">
        <f>_xlfn.RANK.EQ(Country_GDP[[#This Row],[GDP_USD]],Country_GDP[GDP_USD])</f>
        <v>21</v>
      </c>
      <c r="B22" t="s">
        <v>19</v>
      </c>
      <c r="C22">
        <v>1074588</v>
      </c>
      <c r="D22" s="1">
        <f>Country_GDP[[#This Row],[GDP_USD]]/SUM(GDP_USD)</f>
        <v>8.7069349104540172E-3</v>
      </c>
      <c r="E22" t="str">
        <f>IF(Country_GDP[[#This Row],[GDP_USD]]&gt;=1000000,"T1",
 IF(Country_GDP[[#This Row],[GDP_USD]]&gt;=500000,"T2",
 IF(Country_GDP[[#This Row],[GDP_USD]]&gt;=100000,"T3",
 "T4")))</f>
        <v>T1</v>
      </c>
      <c r="F22" s="1">
        <f>Country_GDP[[#This Row],[GDP_USD]]/MAX(GDP_USD)</f>
        <v>3.3769463736121594E-2</v>
      </c>
      <c r="G22" s="1">
        <f>Country_GDP[[#This Row],[GDP_USD]]/SUM(GDP_USD)</f>
        <v>8.7069349104540172E-3</v>
      </c>
    </row>
    <row r="23" spans="1:7" x14ac:dyDescent="0.35">
      <c r="A23">
        <f>_xlfn.RANK.EQ(Country_GDP[[#This Row],[GDP_USD]],Country_GDP[GDP_USD])</f>
        <v>22</v>
      </c>
      <c r="B23" t="s">
        <v>201</v>
      </c>
      <c r="C23">
        <v>971448</v>
      </c>
      <c r="D23" s="1">
        <f>Country_GDP[[#This Row],[GDP_USD]]/SUM(GDP_USD)</f>
        <v>7.8712348406000561E-3</v>
      </c>
      <c r="E23" t="str">
        <f>IF(Country_GDP[[#This Row],[GDP_USD]]&gt;=1000000,"T1",
 IF(Country_GDP[[#This Row],[GDP_USD]]&gt;=500000,"T2",
 IF(Country_GDP[[#This Row],[GDP_USD]]&gt;=100000,"T3",
 "T4")))</f>
        <v>T2</v>
      </c>
      <c r="F23" s="1">
        <f>Country_GDP[[#This Row],[GDP_USD]]/MAX(GDP_USD)</f>
        <v>3.0528237806050181E-2</v>
      </c>
      <c r="G23" s="1">
        <f>Country_GDP[[#This Row],[GDP_USD]]/SUM(GDP_USD)</f>
        <v>7.8712348406000561E-3</v>
      </c>
    </row>
    <row r="24" spans="1:7" x14ac:dyDescent="0.35">
      <c r="A24">
        <f>_xlfn.RANK.EQ(Country_GDP[[#This Row],[GDP_USD]],Country_GDP[GDP_USD])</f>
        <v>23</v>
      </c>
      <c r="B24" t="s">
        <v>20</v>
      </c>
      <c r="C24">
        <v>761174</v>
      </c>
      <c r="D24" s="1">
        <f>Country_GDP[[#This Row],[GDP_USD]]/SUM(GDP_USD)</f>
        <v>6.1674729975859819E-3</v>
      </c>
      <c r="E24" t="str">
        <f>IF(Country_GDP[[#This Row],[GDP_USD]]&gt;=1000000,"T1",
 IF(Country_GDP[[#This Row],[GDP_USD]]&gt;=500000,"T2",
 IF(Country_GDP[[#This Row],[GDP_USD]]&gt;=100000,"T3",
 "T4")))</f>
        <v>T2</v>
      </c>
      <c r="F24" s="1">
        <f>Country_GDP[[#This Row],[GDP_USD]]/MAX(GDP_USD)</f>
        <v>2.3920272504325955E-2</v>
      </c>
      <c r="G24" s="1">
        <f>Country_GDP[[#This Row],[GDP_USD]]/SUM(GDP_USD)</f>
        <v>6.1674729975859819E-3</v>
      </c>
    </row>
    <row r="25" spans="1:7" x14ac:dyDescent="0.35">
      <c r="A25">
        <f>_xlfn.RANK.EQ(Country_GDP[[#This Row],[GDP_USD]],Country_GDP[GDP_USD])</f>
        <v>24</v>
      </c>
      <c r="B25" t="s">
        <v>21</v>
      </c>
      <c r="C25">
        <v>750112</v>
      </c>
      <c r="D25" s="1">
        <f>Country_GDP[[#This Row],[GDP_USD]]/SUM(GDP_USD)</f>
        <v>6.0778422609879161E-3</v>
      </c>
      <c r="E25" t="str">
        <f>IF(Country_GDP[[#This Row],[GDP_USD]]&gt;=1000000,"T1",
 IF(Country_GDP[[#This Row],[GDP_USD]]&gt;=500000,"T2",
 IF(Country_GDP[[#This Row],[GDP_USD]]&gt;=100000,"T3",
 "T4")))</f>
        <v>T2</v>
      </c>
      <c r="F25" s="1">
        <f>Country_GDP[[#This Row],[GDP_USD]]/MAX(GDP_USD)</f>
        <v>2.3572643638333616E-2</v>
      </c>
      <c r="G25" s="1">
        <f>Country_GDP[[#This Row],[GDP_USD]]/SUM(GDP_USD)</f>
        <v>6.0778422609879161E-3</v>
      </c>
    </row>
    <row r="26" spans="1:7" x14ac:dyDescent="0.35">
      <c r="A26">
        <f>_xlfn.RANK.EQ(Country_GDP[[#This Row],[GDP_USD]],Country_GDP[GDP_USD])</f>
        <v>25</v>
      </c>
      <c r="B26" t="s">
        <v>22</v>
      </c>
      <c r="C26">
        <v>711503</v>
      </c>
      <c r="D26" s="1">
        <f>Country_GDP[[#This Row],[GDP_USD]]/SUM(GDP_USD)</f>
        <v>5.7650097615018631E-3</v>
      </c>
      <c r="E26" t="str">
        <f>IF(Country_GDP[[#This Row],[GDP_USD]]&gt;=1000000,"T1",
 IF(Country_GDP[[#This Row],[GDP_USD]]&gt;=500000,"T2",
 IF(Country_GDP[[#This Row],[GDP_USD]]&gt;=100000,"T3",
 "T4")))</f>
        <v>T2</v>
      </c>
      <c r="F26" s="1">
        <f>Country_GDP[[#This Row],[GDP_USD]]/MAX(GDP_USD)</f>
        <v>2.2359336561213902E-2</v>
      </c>
      <c r="G26" s="1">
        <f>Country_GDP[[#This Row],[GDP_USD]]/SUM(GDP_USD)</f>
        <v>5.7650097615018631E-3</v>
      </c>
    </row>
    <row r="27" spans="1:7" x14ac:dyDescent="0.35">
      <c r="A27">
        <f>_xlfn.RANK.EQ(Country_GDP[[#This Row],[GDP_USD]],Country_GDP[GDP_USD])</f>
        <v>26</v>
      </c>
      <c r="B27" t="s">
        <v>23</v>
      </c>
      <c r="C27">
        <v>667922</v>
      </c>
      <c r="D27" s="1">
        <f>Country_GDP[[#This Row],[GDP_USD]]/SUM(GDP_USD)</f>
        <v>5.4118912357668872E-3</v>
      </c>
      <c r="E27" t="str">
        <f>IF(Country_GDP[[#This Row],[GDP_USD]]&gt;=1000000,"T1",
 IF(Country_GDP[[#This Row],[GDP_USD]]&gt;=500000,"T2",
 IF(Country_GDP[[#This Row],[GDP_USD]]&gt;=100000,"T3",
 "T4")))</f>
        <v>T2</v>
      </c>
      <c r="F27" s="1">
        <f>Country_GDP[[#This Row],[GDP_USD]]/MAX(GDP_USD)</f>
        <v>2.0989781904839629E-2</v>
      </c>
      <c r="G27" s="1">
        <f>Country_GDP[[#This Row],[GDP_USD]]/SUM(GDP_USD)</f>
        <v>5.4118912357668872E-3</v>
      </c>
    </row>
    <row r="28" spans="1:7" x14ac:dyDescent="0.35">
      <c r="A28">
        <f>_xlfn.RANK.EQ(Country_GDP[[#This Row],[GDP_USD]],Country_GDP[GDP_USD])</f>
        <v>27</v>
      </c>
      <c r="B28" t="s">
        <v>24</v>
      </c>
      <c r="C28">
        <v>666407</v>
      </c>
      <c r="D28" s="1">
        <f>Country_GDP[[#This Row],[GDP_USD]]/SUM(GDP_USD)</f>
        <v>5.3996158275273218E-3</v>
      </c>
      <c r="E28" t="str">
        <f>IF(Country_GDP[[#This Row],[GDP_USD]]&gt;=1000000,"T1",
 IF(Country_GDP[[#This Row],[GDP_USD]]&gt;=500000,"T2",
 IF(Country_GDP[[#This Row],[GDP_USD]]&gt;=100000,"T3",
 "T4")))</f>
        <v>T2</v>
      </c>
      <c r="F28" s="1">
        <f>Country_GDP[[#This Row],[GDP_USD]]/MAX(GDP_USD)</f>
        <v>2.0942172274395009E-2</v>
      </c>
      <c r="G28" s="1">
        <f>Country_GDP[[#This Row],[GDP_USD]]/SUM(GDP_USD)</f>
        <v>5.3996158275273218E-3</v>
      </c>
    </row>
    <row r="29" spans="1:7" x14ac:dyDescent="0.35">
      <c r="A29">
        <f>_xlfn.RANK.EQ(Country_GDP[[#This Row],[GDP_USD]],Country_GDP[GDP_USD])</f>
        <v>28</v>
      </c>
      <c r="B29" t="s">
        <v>25</v>
      </c>
      <c r="C29">
        <v>606225</v>
      </c>
      <c r="D29" s="1">
        <f>Country_GDP[[#This Row],[GDP_USD]]/SUM(GDP_USD)</f>
        <v>4.9119863762576788E-3</v>
      </c>
      <c r="E29" t="str">
        <f>IF(Country_GDP[[#This Row],[GDP_USD]]&gt;=1000000,"T1",
 IF(Country_GDP[[#This Row],[GDP_USD]]&gt;=500000,"T2",
 IF(Country_GDP[[#This Row],[GDP_USD]]&gt;=100000,"T3",
 "T4")))</f>
        <v>T2</v>
      </c>
      <c r="F29" s="1">
        <f>Country_GDP[[#This Row],[GDP_USD]]/MAX(GDP_USD)</f>
        <v>1.9050922915043081E-2</v>
      </c>
      <c r="G29" s="1">
        <f>Country_GDP[[#This Row],[GDP_USD]]/SUM(GDP_USD)</f>
        <v>4.9119863762576788E-3</v>
      </c>
    </row>
    <row r="30" spans="1:7" x14ac:dyDescent="0.35">
      <c r="A30">
        <f>_xlfn.RANK.EQ(Country_GDP[[#This Row],[GDP_USD]],Country_GDP[GDP_USD])</f>
        <v>29</v>
      </c>
      <c r="B30" t="s">
        <v>26</v>
      </c>
      <c r="C30">
        <v>604198</v>
      </c>
      <c r="D30" s="1">
        <f>Country_GDP[[#This Row],[GDP_USD]]/SUM(GDP_USD)</f>
        <v>4.8955624472137192E-3</v>
      </c>
      <c r="E30" t="str">
        <f>IF(Country_GDP[[#This Row],[GDP_USD]]&gt;=1000000,"T1",
 IF(Country_GDP[[#This Row],[GDP_USD]]&gt;=500000,"T2",
 IF(Country_GDP[[#This Row],[GDP_USD]]&gt;=100000,"T3",
 "T4")))</f>
        <v>T2</v>
      </c>
      <c r="F30" s="1">
        <f>Country_GDP[[#This Row],[GDP_USD]]/MAX(GDP_USD)</f>
        <v>1.8987223429293085E-2</v>
      </c>
      <c r="G30" s="1">
        <f>Country_GDP[[#This Row],[GDP_USD]]/SUM(GDP_USD)</f>
        <v>4.8955624472137192E-3</v>
      </c>
    </row>
    <row r="31" spans="1:7" x14ac:dyDescent="0.35">
      <c r="A31">
        <f>_xlfn.RANK.EQ(Country_GDP[[#This Row],[GDP_USD]],Country_GDP[GDP_USD])</f>
        <v>30</v>
      </c>
      <c r="B31" t="s">
        <v>27</v>
      </c>
      <c r="C31">
        <v>601163</v>
      </c>
      <c r="D31" s="1">
        <f>Country_GDP[[#This Row],[GDP_USD]]/SUM(GDP_USD)</f>
        <v>4.870971117836108E-3</v>
      </c>
      <c r="E31" t="str">
        <f>IF(Country_GDP[[#This Row],[GDP_USD]]&gt;=1000000,"T1",
 IF(Country_GDP[[#This Row],[GDP_USD]]&gt;=500000,"T2",
 IF(Country_GDP[[#This Row],[GDP_USD]]&gt;=100000,"T3",
 "T4")))</f>
        <v>T2</v>
      </c>
      <c r="F31" s="1">
        <f>Country_GDP[[#This Row],[GDP_USD]]/MAX(GDP_USD)</f>
        <v>1.8891847040910625E-2</v>
      </c>
      <c r="G31" s="1">
        <f>Country_GDP[[#This Row],[GDP_USD]]/SUM(GDP_USD)</f>
        <v>4.870971117836108E-3</v>
      </c>
    </row>
    <row r="32" spans="1:7" x14ac:dyDescent="0.35">
      <c r="A32">
        <f>_xlfn.RANK.EQ(Country_GDP[[#This Row],[GDP_USD]],Country_GDP[GDP_USD])</f>
        <v>31</v>
      </c>
      <c r="B32" t="s">
        <v>28</v>
      </c>
      <c r="C32">
        <v>561509</v>
      </c>
      <c r="D32" s="1">
        <f>Country_GDP[[#This Row],[GDP_USD]]/SUM(GDP_USD)</f>
        <v>4.5496714225676483E-3</v>
      </c>
      <c r="E32" t="str">
        <f>IF(Country_GDP[[#This Row],[GDP_USD]]&gt;=1000000,"T1",
 IF(Country_GDP[[#This Row],[GDP_USD]]&gt;=500000,"T2",
 IF(Country_GDP[[#This Row],[GDP_USD]]&gt;=100000,"T3",
 "T4")))</f>
        <v>T2</v>
      </c>
      <c r="F32" s="1">
        <f>Country_GDP[[#This Row],[GDP_USD]]/MAX(GDP_USD)</f>
        <v>1.7645700317708648E-2</v>
      </c>
      <c r="G32" s="1">
        <f>Country_GDP[[#This Row],[GDP_USD]]/SUM(GDP_USD)</f>
        <v>4.5496714225676483E-3</v>
      </c>
    </row>
    <row r="33" spans="1:7" x14ac:dyDescent="0.35">
      <c r="A33">
        <f>_xlfn.RANK.EQ(Country_GDP[[#This Row],[GDP_USD]],Country_GDP[GDP_USD])</f>
        <v>32</v>
      </c>
      <c r="B33" t="s">
        <v>29</v>
      </c>
      <c r="C33">
        <v>547693</v>
      </c>
      <c r="D33" s="1">
        <f>Country_GDP[[#This Row],[GDP_USD]]/SUM(GDP_USD)</f>
        <v>4.4377261814865709E-3</v>
      </c>
      <c r="E33" t="str">
        <f>IF(Country_GDP[[#This Row],[GDP_USD]]&gt;=1000000,"T1",
 IF(Country_GDP[[#This Row],[GDP_USD]]&gt;=500000,"T2",
 IF(Country_GDP[[#This Row],[GDP_USD]]&gt;=100000,"T3",
 "T4")))</f>
        <v>T2</v>
      </c>
      <c r="F33" s="1">
        <f>Country_GDP[[#This Row],[GDP_USD]]/MAX(GDP_USD)</f>
        <v>1.7211525628452622E-2</v>
      </c>
      <c r="G33" s="1">
        <f>Country_GDP[[#This Row],[GDP_USD]]/SUM(GDP_USD)</f>
        <v>4.4377261814865709E-3</v>
      </c>
    </row>
    <row r="34" spans="1:7" x14ac:dyDescent="0.35">
      <c r="A34">
        <f>_xlfn.RANK.EQ(Country_GDP[[#This Row],[GDP_USD]],Country_GDP[GDP_USD])</f>
        <v>33</v>
      </c>
      <c r="B34" t="s">
        <v>30</v>
      </c>
      <c r="C34">
        <v>533922</v>
      </c>
      <c r="D34" s="1">
        <f>Country_GDP[[#This Row],[GDP_USD]]/SUM(GDP_USD)</f>
        <v>4.3261455564918179E-3</v>
      </c>
      <c r="E34" t="str">
        <f>IF(Country_GDP[[#This Row],[GDP_USD]]&gt;=1000000,"T1",
 IF(Country_GDP[[#This Row],[GDP_USD]]&gt;=500000,"T2",
 IF(Country_GDP[[#This Row],[GDP_USD]]&gt;=100000,"T3",
 "T4")))</f>
        <v>T2</v>
      </c>
      <c r="F34" s="1">
        <f>Country_GDP[[#This Row],[GDP_USD]]/MAX(GDP_USD)</f>
        <v>1.6778765086635544E-2</v>
      </c>
      <c r="G34" s="1">
        <f>Country_GDP[[#This Row],[GDP_USD]]/SUM(GDP_USD)</f>
        <v>4.3261455564918179E-3</v>
      </c>
    </row>
    <row r="35" spans="1:7" x14ac:dyDescent="0.35">
      <c r="A35">
        <f>_xlfn.RANK.EQ(Country_GDP[[#This Row],[GDP_USD]],Country_GDP[GDP_USD])</f>
        <v>34</v>
      </c>
      <c r="B35" t="s">
        <v>31</v>
      </c>
      <c r="C35">
        <v>519288</v>
      </c>
      <c r="D35" s="1">
        <f>Country_GDP[[#This Row],[GDP_USD]]/SUM(GDP_USD)</f>
        <v>4.2075724052193448E-3</v>
      </c>
      <c r="E35" t="str">
        <f>IF(Country_GDP[[#This Row],[GDP_USD]]&gt;=1000000,"T1",
 IF(Country_GDP[[#This Row],[GDP_USD]]&gt;=500000,"T2",
 IF(Country_GDP[[#This Row],[GDP_USD]]&gt;=100000,"T3",
 "T4")))</f>
        <v>T2</v>
      </c>
      <c r="F35" s="1">
        <f>Country_GDP[[#This Row],[GDP_USD]]/MAX(GDP_USD)</f>
        <v>1.6318884339489286E-2</v>
      </c>
      <c r="G35" s="1">
        <f>Country_GDP[[#This Row],[GDP_USD]]/SUM(GDP_USD)</f>
        <v>4.2075724052193448E-3</v>
      </c>
    </row>
    <row r="36" spans="1:7" x14ac:dyDescent="0.35">
      <c r="A36">
        <f>_xlfn.RANK.EQ(Country_GDP[[#This Row],[GDP_USD]],Country_GDP[GDP_USD])</f>
        <v>35</v>
      </c>
      <c r="B36" t="s">
        <v>32</v>
      </c>
      <c r="C36">
        <v>511059</v>
      </c>
      <c r="D36" s="1">
        <f>Country_GDP[[#This Row],[GDP_USD]]/SUM(GDP_USD)</f>
        <v>4.1408962769002812E-3</v>
      </c>
      <c r="E36" t="str">
        <f>IF(Country_GDP[[#This Row],[GDP_USD]]&gt;=1000000,"T1",
 IF(Country_GDP[[#This Row],[GDP_USD]]&gt;=500000,"T2",
 IF(Country_GDP[[#This Row],[GDP_USD]]&gt;=100000,"T3",
 "T4")))</f>
        <v>T2</v>
      </c>
      <c r="F36" s="1">
        <f>Country_GDP[[#This Row],[GDP_USD]]/MAX(GDP_USD)</f>
        <v>1.6060283911153453E-2</v>
      </c>
      <c r="G36" s="1">
        <f>Country_GDP[[#This Row],[GDP_USD]]/SUM(GDP_USD)</f>
        <v>4.1408962769002812E-3</v>
      </c>
    </row>
    <row r="37" spans="1:7" x14ac:dyDescent="0.35">
      <c r="A37">
        <f>_xlfn.RANK.EQ(Country_GDP[[#This Row],[GDP_USD]],Country_GDP[GDP_USD])</f>
        <v>36</v>
      </c>
      <c r="B37" t="s">
        <v>33</v>
      </c>
      <c r="C37">
        <v>505364</v>
      </c>
      <c r="D37" s="1">
        <f>Country_GDP[[#This Row],[GDP_USD]]/SUM(GDP_USD)</f>
        <v>4.0947520855310901E-3</v>
      </c>
      <c r="E37" t="str">
        <f>IF(Country_GDP[[#This Row],[GDP_USD]]&gt;=1000000,"T1",
 IF(Country_GDP[[#This Row],[GDP_USD]]&gt;=500000,"T2",
 IF(Country_GDP[[#This Row],[GDP_USD]]&gt;=100000,"T3",
 "T4")))</f>
        <v>T2</v>
      </c>
      <c r="F37" s="1">
        <f>Country_GDP[[#This Row],[GDP_USD]]/MAX(GDP_USD)</f>
        <v>1.588131569637978E-2</v>
      </c>
      <c r="G37" s="1">
        <f>Country_GDP[[#This Row],[GDP_USD]]/SUM(GDP_USD)</f>
        <v>4.0947520855310901E-3</v>
      </c>
    </row>
    <row r="38" spans="1:7" x14ac:dyDescent="0.35">
      <c r="A38">
        <f>_xlfn.RANK.EQ(Country_GDP[[#This Row],[GDP_USD]],Country_GDP[GDP_USD])</f>
        <v>37</v>
      </c>
      <c r="B38" t="s">
        <v>34</v>
      </c>
      <c r="C38">
        <v>500051</v>
      </c>
      <c r="D38" s="1">
        <f>Country_GDP[[#This Row],[GDP_USD]]/SUM(GDP_USD)</f>
        <v>4.051703079605804E-3</v>
      </c>
      <c r="E38" t="str">
        <f>IF(Country_GDP[[#This Row],[GDP_USD]]&gt;=1000000,"T1",
 IF(Country_GDP[[#This Row],[GDP_USD]]&gt;=500000,"T2",
 IF(Country_GDP[[#This Row],[GDP_USD]]&gt;=100000,"T3",
 "T4")))</f>
        <v>T2</v>
      </c>
      <c r="F38" s="1">
        <f>Country_GDP[[#This Row],[GDP_USD]]/MAX(GDP_USD)</f>
        <v>1.5714352022087853E-2</v>
      </c>
      <c r="G38" s="1">
        <f>Country_GDP[[#This Row],[GDP_USD]]/SUM(GDP_USD)</f>
        <v>4.051703079605804E-3</v>
      </c>
    </row>
    <row r="39" spans="1:7" x14ac:dyDescent="0.35">
      <c r="A39">
        <f>_xlfn.RANK.EQ(Country_GDP[[#This Row],[GDP_USD]],Country_GDP[GDP_USD])</f>
        <v>38</v>
      </c>
      <c r="B39" t="s">
        <v>35</v>
      </c>
      <c r="C39">
        <v>462251</v>
      </c>
      <c r="D39" s="1">
        <f>Country_GDP[[#This Row],[GDP_USD]]/SUM(GDP_USD)</f>
        <v>3.7454255670938811E-3</v>
      </c>
      <c r="E39" t="str">
        <f>IF(Country_GDP[[#This Row],[GDP_USD]]&gt;=1000000,"T1",
 IF(Country_GDP[[#This Row],[GDP_USD]]&gt;=500000,"T2",
 IF(Country_GDP[[#This Row],[GDP_USD]]&gt;=100000,"T3",
 "T4")))</f>
        <v>T3</v>
      </c>
      <c r="F39" s="1">
        <f>Country_GDP[[#This Row],[GDP_USD]]/MAX(GDP_USD)</f>
        <v>1.4526468173370579E-2</v>
      </c>
      <c r="G39" s="1">
        <f>Country_GDP[[#This Row],[GDP_USD]]/SUM(GDP_USD)</f>
        <v>3.7454255670938811E-3</v>
      </c>
    </row>
    <row r="40" spans="1:7" x14ac:dyDescent="0.35">
      <c r="A40">
        <f>_xlfn.RANK.EQ(Country_GDP[[#This Row],[GDP_USD]],Country_GDP[GDP_USD])</f>
        <v>39</v>
      </c>
      <c r="B40" t="s">
        <v>202</v>
      </c>
      <c r="C40">
        <v>446646</v>
      </c>
      <c r="D40" s="1">
        <f>Country_GDP[[#This Row],[GDP_USD]]/SUM(GDP_USD)</f>
        <v>3.618984810936512E-3</v>
      </c>
      <c r="E40" t="str">
        <f>IF(Country_GDP[[#This Row],[GDP_USD]]&gt;=1000000,"T1",
 IF(Country_GDP[[#This Row],[GDP_USD]]&gt;=500000,"T2",
 IF(Country_GDP[[#This Row],[GDP_USD]]&gt;=100000,"T3",
 "T4")))</f>
        <v>T3</v>
      </c>
      <c r="F40" s="1">
        <f>Country_GDP[[#This Row],[GDP_USD]]/MAX(GDP_USD)</f>
        <v>1.4036073267041663E-2</v>
      </c>
      <c r="G40" s="1">
        <f>Country_GDP[[#This Row],[GDP_USD]]/SUM(GDP_USD)</f>
        <v>3.618984810936512E-3</v>
      </c>
    </row>
    <row r="41" spans="1:7" x14ac:dyDescent="0.35">
      <c r="A41">
        <f>_xlfn.RANK.EQ(Country_GDP[[#This Row],[GDP_USD]],Country_GDP[GDP_USD])</f>
        <v>40</v>
      </c>
      <c r="B41" t="s">
        <v>36</v>
      </c>
      <c r="C41">
        <v>444807</v>
      </c>
      <c r="D41" s="1">
        <f>Country_GDP[[#This Row],[GDP_USD]]/SUM(GDP_USD)</f>
        <v>3.6040841668754163E-3</v>
      </c>
      <c r="E41" t="str">
        <f>IF(Country_GDP[[#This Row],[GDP_USD]]&gt;=1000000,"T1",
 IF(Country_GDP[[#This Row],[GDP_USD]]&gt;=500000,"T2",
 IF(Country_GDP[[#This Row],[GDP_USD]]&gt;=100000,"T3",
 "T4")))</f>
        <v>T3</v>
      </c>
      <c r="F41" s="1">
        <f>Country_GDP[[#This Row],[GDP_USD]]/MAX(GDP_USD)</f>
        <v>1.3978281775036608E-2</v>
      </c>
      <c r="G41" s="1">
        <f>Country_GDP[[#This Row],[GDP_USD]]/SUM(GDP_USD)</f>
        <v>3.6040841668754163E-3</v>
      </c>
    </row>
    <row r="42" spans="1:7" x14ac:dyDescent="0.35">
      <c r="A42">
        <f>_xlfn.RANK.EQ(Country_GDP[[#This Row],[GDP_USD]],Country_GDP[GDP_USD])</f>
        <v>41</v>
      </c>
      <c r="B42" t="s">
        <v>37</v>
      </c>
      <c r="C42">
        <v>443643</v>
      </c>
      <c r="D42" s="1">
        <f>Country_GDP[[#This Row],[GDP_USD]]/SUM(GDP_USD)</f>
        <v>3.5946527641091759E-3</v>
      </c>
      <c r="E42" t="str">
        <f>IF(Country_GDP[[#This Row],[GDP_USD]]&gt;=1000000,"T1",
 IF(Country_GDP[[#This Row],[GDP_USD]]&gt;=500000,"T2",
 IF(Country_GDP[[#This Row],[GDP_USD]]&gt;=100000,"T3",
 "T4")))</f>
        <v>T3</v>
      </c>
      <c r="F42" s="1">
        <f>Country_GDP[[#This Row],[GDP_USD]]/MAX(GDP_USD)</f>
        <v>1.3941702494615791E-2</v>
      </c>
      <c r="G42" s="1">
        <f>Country_GDP[[#This Row],[GDP_USD]]/SUM(GDP_USD)</f>
        <v>3.5946527641091759E-3</v>
      </c>
    </row>
    <row r="43" spans="1:7" x14ac:dyDescent="0.35">
      <c r="A43">
        <f>_xlfn.RANK.EQ(Country_GDP[[#This Row],[GDP_USD]],Country_GDP[GDP_USD])</f>
        <v>42</v>
      </c>
      <c r="B43" t="s">
        <v>38</v>
      </c>
      <c r="C43">
        <v>417134</v>
      </c>
      <c r="D43" s="1">
        <f>Country_GDP[[#This Row],[GDP_USD]]/SUM(GDP_USD)</f>
        <v>3.3798614789457221E-3</v>
      </c>
      <c r="E43" t="str">
        <f>IF(Country_GDP[[#This Row],[GDP_USD]]&gt;=1000000,"T1",
 IF(Country_GDP[[#This Row],[GDP_USD]]&gt;=500000,"T2",
 IF(Country_GDP[[#This Row],[GDP_USD]]&gt;=100000,"T3",
 "T4")))</f>
        <v>T3</v>
      </c>
      <c r="F43" s="1">
        <f>Country_GDP[[#This Row],[GDP_USD]]/MAX(GDP_USD)</f>
        <v>1.3108643951080178E-2</v>
      </c>
      <c r="G43" s="1">
        <f>Country_GDP[[#This Row],[GDP_USD]]/SUM(GDP_USD)</f>
        <v>3.3798614789457221E-3</v>
      </c>
    </row>
    <row r="44" spans="1:7" x14ac:dyDescent="0.35">
      <c r="A44">
        <f>_xlfn.RANK.EQ(Country_GDP[[#This Row],[GDP_USD]],Country_GDP[GDP_USD])</f>
        <v>43</v>
      </c>
      <c r="B44" t="s">
        <v>39</v>
      </c>
      <c r="C44">
        <v>410495</v>
      </c>
      <c r="D44" s="1">
        <f>Country_GDP[[#This Row],[GDP_USD]]/SUM(GDP_USD)</f>
        <v>3.3260684523434298E-3</v>
      </c>
      <c r="E44" t="str">
        <f>IF(Country_GDP[[#This Row],[GDP_USD]]&gt;=1000000,"T1",
 IF(Country_GDP[[#This Row],[GDP_USD]]&gt;=500000,"T2",
 IF(Country_GDP[[#This Row],[GDP_USD]]&gt;=100000,"T3",
 "T4")))</f>
        <v>T3</v>
      </c>
      <c r="F44" s="1">
        <f>Country_GDP[[#This Row],[GDP_USD]]/MAX(GDP_USD)</f>
        <v>1.2900010065587216E-2</v>
      </c>
      <c r="G44" s="1">
        <f>Country_GDP[[#This Row],[GDP_USD]]/SUM(GDP_USD)</f>
        <v>3.3260684523434298E-3</v>
      </c>
    </row>
    <row r="45" spans="1:7" x14ac:dyDescent="0.35">
      <c r="A45">
        <f>_xlfn.RANK.EQ(Country_GDP[[#This Row],[GDP_USD]],Country_GDP[GDP_USD])</f>
        <v>44</v>
      </c>
      <c r="B45" t="s">
        <v>40</v>
      </c>
      <c r="C45">
        <v>399508</v>
      </c>
      <c r="D45" s="1">
        <f>Country_GDP[[#This Row],[GDP_USD]]/SUM(GDP_USD)</f>
        <v>3.2370454092225699E-3</v>
      </c>
      <c r="E45" t="str">
        <f>IF(Country_GDP[[#This Row],[GDP_USD]]&gt;=1000000,"T1",
 IF(Country_GDP[[#This Row],[GDP_USD]]&gt;=500000,"T2",
 IF(Country_GDP[[#This Row],[GDP_USD]]&gt;=100000,"T3",
 "T4")))</f>
        <v>T3</v>
      </c>
      <c r="F45" s="1">
        <f>Country_GDP[[#This Row],[GDP_USD]]/MAX(GDP_USD)</f>
        <v>1.2554738111993124E-2</v>
      </c>
      <c r="G45" s="1">
        <f>Country_GDP[[#This Row],[GDP_USD]]/SUM(GDP_USD)</f>
        <v>3.2370454092225699E-3</v>
      </c>
    </row>
    <row r="46" spans="1:7" x14ac:dyDescent="0.35">
      <c r="A46">
        <f>_xlfn.RANK.EQ(Country_GDP[[#This Row],[GDP_USD]],Country_GDP[GDP_USD])</f>
        <v>45</v>
      </c>
      <c r="B46" t="s">
        <v>41</v>
      </c>
      <c r="C46">
        <v>375644</v>
      </c>
      <c r="D46" s="1">
        <f>Country_GDP[[#This Row],[GDP_USD]]/SUM(GDP_USD)</f>
        <v>3.0436854473552548E-3</v>
      </c>
      <c r="E46" t="str">
        <f>IF(Country_GDP[[#This Row],[GDP_USD]]&gt;=1000000,"T1",
 IF(Country_GDP[[#This Row],[GDP_USD]]&gt;=500000,"T2",
 IF(Country_GDP[[#This Row],[GDP_USD]]&gt;=100000,"T3",
 "T4")))</f>
        <v>T3</v>
      </c>
      <c r="F46" s="1">
        <f>Country_GDP[[#This Row],[GDP_USD]]/MAX(GDP_USD)</f>
        <v>1.1804800012369077E-2</v>
      </c>
      <c r="G46" s="1">
        <f>Country_GDP[[#This Row],[GDP_USD]]/SUM(GDP_USD)</f>
        <v>3.0436854473552548E-3</v>
      </c>
    </row>
    <row r="47" spans="1:7" x14ac:dyDescent="0.35">
      <c r="A47">
        <f>_xlfn.RANK.EQ(Country_GDP[[#This Row],[GDP_USD]],Country_GDP[GDP_USD])</f>
        <v>46</v>
      </c>
      <c r="B47" t="s">
        <v>42</v>
      </c>
      <c r="C47">
        <v>364527</v>
      </c>
      <c r="D47" s="1">
        <f>Country_GDP[[#This Row],[GDP_USD]]/SUM(GDP_USD)</f>
        <v>2.9536090688739042E-3</v>
      </c>
      <c r="E47" t="str">
        <f>IF(Country_GDP[[#This Row],[GDP_USD]]&gt;=1000000,"T1",
 IF(Country_GDP[[#This Row],[GDP_USD]]&gt;=500000,"T2",
 IF(Country_GDP[[#This Row],[GDP_USD]]&gt;=100000,"T3",
 "T4")))</f>
        <v>T3</v>
      </c>
      <c r="F47" s="1">
        <f>Country_GDP[[#This Row],[GDP_USD]]/MAX(GDP_USD)</f>
        <v>1.1455442743951353E-2</v>
      </c>
      <c r="G47" s="1">
        <f>Country_GDP[[#This Row],[GDP_USD]]/SUM(GDP_USD)</f>
        <v>2.9536090688739042E-3</v>
      </c>
    </row>
    <row r="48" spans="1:7" x14ac:dyDescent="0.35">
      <c r="A48">
        <f>_xlfn.RANK.EQ(Country_GDP[[#This Row],[GDP_USD]],Country_GDP[GDP_USD])</f>
        <v>47</v>
      </c>
      <c r="B48" t="s">
        <v>43</v>
      </c>
      <c r="C48">
        <v>363299</v>
      </c>
      <c r="D48" s="1">
        <f>Country_GDP[[#This Row],[GDP_USD]]/SUM(GDP_USD)</f>
        <v>2.9436591010071149E-3</v>
      </c>
      <c r="E48" t="str">
        <f>IF(Country_GDP[[#This Row],[GDP_USD]]&gt;=1000000,"T1",
 IF(Country_GDP[[#This Row],[GDP_USD]]&gt;=500000,"T2",
 IF(Country_GDP[[#This Row],[GDP_USD]]&gt;=100000,"T3",
 "T4")))</f>
        <v>T3</v>
      </c>
      <c r="F48" s="1">
        <f>Country_GDP[[#This Row],[GDP_USD]]/MAX(GDP_USD)</f>
        <v>1.1416852231617364E-2</v>
      </c>
      <c r="G48" s="1">
        <f>Country_GDP[[#This Row],[GDP_USD]]/SUM(GDP_USD)</f>
        <v>2.9436591010071149E-3</v>
      </c>
    </row>
    <row r="49" spans="1:7" x14ac:dyDescent="0.35">
      <c r="A49">
        <f>_xlfn.RANK.EQ(Country_GDP[[#This Row],[GDP_USD]],Country_GDP[GDP_USD])</f>
        <v>48</v>
      </c>
      <c r="B49" t="s">
        <v>44</v>
      </c>
      <c r="C49">
        <v>335534</v>
      </c>
      <c r="D49" s="1">
        <f>Country_GDP[[#This Row],[GDP_USD]]/SUM(GDP_USD)</f>
        <v>2.7186909757453814E-3</v>
      </c>
      <c r="E49" t="str">
        <f>IF(Country_GDP[[#This Row],[GDP_USD]]&gt;=1000000,"T1",
 IF(Country_GDP[[#This Row],[GDP_USD]]&gt;=500000,"T2",
 IF(Country_GDP[[#This Row],[GDP_USD]]&gt;=100000,"T3",
 "T4")))</f>
        <v>T3</v>
      </c>
      <c r="F49" s="1">
        <f>Country_GDP[[#This Row],[GDP_USD]]/MAX(GDP_USD)</f>
        <v>1.0544323261785749E-2</v>
      </c>
      <c r="G49" s="1">
        <f>Country_GDP[[#This Row],[GDP_USD]]/SUM(GDP_USD)</f>
        <v>2.7186909757453814E-3</v>
      </c>
    </row>
    <row r="50" spans="1:7" x14ac:dyDescent="0.35">
      <c r="A50">
        <f>_xlfn.RANK.EQ(Country_GDP[[#This Row],[GDP_USD]],Country_GDP[GDP_USD])</f>
        <v>49</v>
      </c>
      <c r="B50" t="s">
        <v>45</v>
      </c>
      <c r="C50">
        <v>334341</v>
      </c>
      <c r="D50" s="1">
        <f>Country_GDP[[#This Row],[GDP_USD]]/SUM(GDP_USD)</f>
        <v>2.7090245981679548E-3</v>
      </c>
      <c r="E50" t="str">
        <f>IF(Country_GDP[[#This Row],[GDP_USD]]&gt;=1000000,"T1",
 IF(Country_GDP[[#This Row],[GDP_USD]]&gt;=500000,"T2",
 IF(Country_GDP[[#This Row],[GDP_USD]]&gt;=100000,"T3",
 "T4")))</f>
        <v>T3</v>
      </c>
      <c r="F50" s="1">
        <f>Country_GDP[[#This Row],[GDP_USD]]/MAX(GDP_USD)</f>
        <v>1.0506832641904275E-2</v>
      </c>
      <c r="G50" s="1">
        <f>Country_GDP[[#This Row],[GDP_USD]]/SUM(GDP_USD)</f>
        <v>2.7090245981679548E-3</v>
      </c>
    </row>
    <row r="51" spans="1:7" x14ac:dyDescent="0.35">
      <c r="A51">
        <f>_xlfn.RANK.EQ(Country_GDP[[#This Row],[GDP_USD]],Country_GDP[GDP_USD])</f>
        <v>50</v>
      </c>
      <c r="B51" t="s">
        <v>46</v>
      </c>
      <c r="C51">
        <v>326608</v>
      </c>
      <c r="D51" s="1">
        <f>Country_GDP[[#This Row],[GDP_USD]]/SUM(GDP_USD)</f>
        <v>2.6463673493781481E-3</v>
      </c>
      <c r="E51" t="str">
        <f>IF(Country_GDP[[#This Row],[GDP_USD]]&gt;=1000000,"T1",
 IF(Country_GDP[[#This Row],[GDP_USD]]&gt;=500000,"T2",
 IF(Country_GDP[[#This Row],[GDP_USD]]&gt;=100000,"T3",
 "T4")))</f>
        <v>T3</v>
      </c>
      <c r="F51" s="1">
        <f>Country_GDP[[#This Row],[GDP_USD]]/MAX(GDP_USD)</f>
        <v>1.0263819260895526E-2</v>
      </c>
      <c r="G51" s="1">
        <f>Country_GDP[[#This Row],[GDP_USD]]/SUM(GDP_USD)</f>
        <v>2.6463673493781481E-3</v>
      </c>
    </row>
    <row r="52" spans="1:7" x14ac:dyDescent="0.35">
      <c r="A52">
        <f>_xlfn.RANK.EQ(Country_GDP[[#This Row],[GDP_USD]],Country_GDP[GDP_USD])</f>
        <v>51</v>
      </c>
      <c r="B52" t="s">
        <v>47</v>
      </c>
      <c r="C52">
        <v>319770</v>
      </c>
      <c r="D52" s="1">
        <f>Country_GDP[[#This Row],[GDP_USD]]/SUM(GDP_USD)</f>
        <v>2.5909619094163353E-3</v>
      </c>
      <c r="E52" t="str">
        <f>IF(Country_GDP[[#This Row],[GDP_USD]]&gt;=1000000,"T1",
 IF(Country_GDP[[#This Row],[GDP_USD]]&gt;=500000,"T2",
 IF(Country_GDP[[#This Row],[GDP_USD]]&gt;=100000,"T3",
 "T4")))</f>
        <v>T3</v>
      </c>
      <c r="F52" s="1">
        <f>Country_GDP[[#This Row],[GDP_USD]]/MAX(GDP_USD)</f>
        <v>1.0048931701172546E-2</v>
      </c>
      <c r="G52" s="1">
        <f>Country_GDP[[#This Row],[GDP_USD]]/SUM(GDP_USD)</f>
        <v>2.5909619094163353E-3</v>
      </c>
    </row>
    <row r="53" spans="1:7" x14ac:dyDescent="0.35">
      <c r="A53">
        <f>_xlfn.RANK.EQ(Country_GDP[[#This Row],[GDP_USD]],Country_GDP[GDP_USD])</f>
        <v>52</v>
      </c>
      <c r="B53" t="s">
        <v>48</v>
      </c>
      <c r="C53">
        <v>304838</v>
      </c>
      <c r="D53" s="1">
        <f>Country_GDP[[#This Row],[GDP_USD]]/SUM(GDP_USD)</f>
        <v>2.4699741893944296E-3</v>
      </c>
      <c r="E53" t="str">
        <f>IF(Country_GDP[[#This Row],[GDP_USD]]&gt;=1000000,"T1",
 IF(Country_GDP[[#This Row],[GDP_USD]]&gt;=500000,"T2",
 IF(Country_GDP[[#This Row],[GDP_USD]]&gt;=100000,"T3",
 "T4")))</f>
        <v>T3</v>
      </c>
      <c r="F53" s="1">
        <f>Country_GDP[[#This Row],[GDP_USD]]/MAX(GDP_USD)</f>
        <v>9.5796861554305786E-3</v>
      </c>
      <c r="G53" s="1">
        <f>Country_GDP[[#This Row],[GDP_USD]]/SUM(GDP_USD)</f>
        <v>2.4699741893944296E-3</v>
      </c>
    </row>
    <row r="54" spans="1:7" x14ac:dyDescent="0.35">
      <c r="A54">
        <f>_xlfn.RANK.EQ(Country_GDP[[#This Row],[GDP_USD]],Country_GDP[GDP_USD])</f>
        <v>53</v>
      </c>
      <c r="B54" t="s">
        <v>49</v>
      </c>
      <c r="C54">
        <v>284984</v>
      </c>
      <c r="D54" s="1">
        <f>Country_GDP[[#This Row],[GDP_USD]]/SUM(GDP_USD)</f>
        <v>2.3091055721084055E-3</v>
      </c>
      <c r="E54" t="str">
        <f>IF(Country_GDP[[#This Row],[GDP_USD]]&gt;=1000000,"T1",
 IF(Country_GDP[[#This Row],[GDP_USD]]&gt;=500000,"T2",
 IF(Country_GDP[[#This Row],[GDP_USD]]&gt;=100000,"T3",
 "T4")))</f>
        <v>T3</v>
      </c>
      <c r="F54" s="1">
        <f>Country_GDP[[#This Row],[GDP_USD]]/MAX(GDP_USD)</f>
        <v>8.9557643053662216E-3</v>
      </c>
      <c r="G54" s="1">
        <f>Country_GDP[[#This Row],[GDP_USD]]/SUM(GDP_USD)</f>
        <v>2.3091055721084055E-3</v>
      </c>
    </row>
    <row r="55" spans="1:7" x14ac:dyDescent="0.35">
      <c r="A55">
        <f>_xlfn.RANK.EQ(Country_GDP[[#This Row],[GDP_USD]],Country_GDP[GDP_USD])</f>
        <v>54</v>
      </c>
      <c r="B55" t="s">
        <v>50</v>
      </c>
      <c r="C55">
        <v>280553</v>
      </c>
      <c r="D55" s="1">
        <f>Country_GDP[[#This Row],[GDP_USD]]/SUM(GDP_USD)</f>
        <v>2.2732030414750635E-3</v>
      </c>
      <c r="E55" t="str">
        <f>IF(Country_GDP[[#This Row],[GDP_USD]]&gt;=1000000,"T1",
 IF(Country_GDP[[#This Row],[GDP_USD]]&gt;=500000,"T2",
 IF(Country_GDP[[#This Row],[GDP_USD]]&gt;=100000,"T3",
 "T4")))</f>
        <v>T3</v>
      </c>
      <c r="F55" s="1">
        <f>Country_GDP[[#This Row],[GDP_USD]]/MAX(GDP_USD)</f>
        <v>8.8165179208776964E-3</v>
      </c>
      <c r="G55" s="1">
        <f>Country_GDP[[#This Row],[GDP_USD]]/SUM(GDP_USD)</f>
        <v>2.2732030414750635E-3</v>
      </c>
    </row>
    <row r="56" spans="1:7" x14ac:dyDescent="0.35">
      <c r="A56">
        <f>_xlfn.RANK.EQ(Country_GDP[[#This Row],[GDP_USD]],Country_GDP[GDP_USD])</f>
        <v>55</v>
      </c>
      <c r="B56" t="s">
        <v>51</v>
      </c>
      <c r="C56">
        <v>273912</v>
      </c>
      <c r="D56" s="1">
        <f>Country_GDP[[#This Row],[GDP_USD]]/SUM(GDP_USD)</f>
        <v>2.2193938097133789E-3</v>
      </c>
      <c r="E56" t="str">
        <f>IF(Country_GDP[[#This Row],[GDP_USD]]&gt;=1000000,"T1",
 IF(Country_GDP[[#This Row],[GDP_USD]]&gt;=500000,"T2",
 IF(Country_GDP[[#This Row],[GDP_USD]]&gt;=100000,"T3",
 "T4")))</f>
        <v>T3</v>
      </c>
      <c r="F56" s="1">
        <f>Country_GDP[[#This Row],[GDP_USD]]/MAX(GDP_USD)</f>
        <v>8.6078211843874479E-3</v>
      </c>
      <c r="G56" s="1">
        <f>Country_GDP[[#This Row],[GDP_USD]]/SUM(GDP_USD)</f>
        <v>2.2193938097133789E-3</v>
      </c>
    </row>
    <row r="57" spans="1:7" x14ac:dyDescent="0.35">
      <c r="A57">
        <f>_xlfn.RANK.EQ(Country_GDP[[#This Row],[GDP_USD]],Country_GDP[GDP_USD])</f>
        <v>56</v>
      </c>
      <c r="B57" t="s">
        <v>52</v>
      </c>
      <c r="C57">
        <v>269916</v>
      </c>
      <c r="D57" s="1">
        <f>Country_GDP[[#This Row],[GDP_USD]]/SUM(GDP_USD)</f>
        <v>2.1870159012478329E-3</v>
      </c>
      <c r="E57" t="str">
        <f>IF(Country_GDP[[#This Row],[GDP_USD]]&gt;=1000000,"T1",
 IF(Country_GDP[[#This Row],[GDP_USD]]&gt;=500000,"T2",
 IF(Country_GDP[[#This Row],[GDP_USD]]&gt;=100000,"T3",
 "T4")))</f>
        <v>T3</v>
      </c>
      <c r="F57" s="1">
        <f>Country_GDP[[#This Row],[GDP_USD]]/MAX(GDP_USD)</f>
        <v>8.4822448918087639E-3</v>
      </c>
      <c r="G57" s="1">
        <f>Country_GDP[[#This Row],[GDP_USD]]/SUM(GDP_USD)</f>
        <v>2.1870159012478329E-3</v>
      </c>
    </row>
    <row r="58" spans="1:7" x14ac:dyDescent="0.35">
      <c r="A58">
        <f>_xlfn.RANK.EQ(Country_GDP[[#This Row],[GDP_USD]],Country_GDP[GDP_USD])</f>
        <v>57</v>
      </c>
      <c r="B58" t="s">
        <v>53</v>
      </c>
      <c r="C58">
        <v>239142</v>
      </c>
      <c r="D58" s="1">
        <f>Country_GDP[[#This Row],[GDP_USD]]/SUM(GDP_USD)</f>
        <v>1.9376671136805868E-3</v>
      </c>
      <c r="E58" t="str">
        <f>IF(Country_GDP[[#This Row],[GDP_USD]]&gt;=1000000,"T1",
 IF(Country_GDP[[#This Row],[GDP_USD]]&gt;=500000,"T2",
 IF(Country_GDP[[#This Row],[GDP_USD]]&gt;=100000,"T3",
 "T4")))</f>
        <v>T3</v>
      </c>
      <c r="F58" s="1">
        <f>Country_GDP[[#This Row],[GDP_USD]]/MAX(GDP_USD)</f>
        <v>7.5151565965594167E-3</v>
      </c>
      <c r="G58" s="1">
        <f>Country_GDP[[#This Row],[GDP_USD]]/SUM(GDP_USD)</f>
        <v>1.9376671136805868E-3</v>
      </c>
    </row>
    <row r="59" spans="1:7" x14ac:dyDescent="0.35">
      <c r="A59">
        <f>_xlfn.RANK.EQ(Country_GDP[[#This Row],[GDP_USD]],Country_GDP[GDP_USD])</f>
        <v>58</v>
      </c>
      <c r="B59" t="s">
        <v>203</v>
      </c>
      <c r="C59">
        <v>224259</v>
      </c>
      <c r="D59" s="1">
        <f>Country_GDP[[#This Row],[GDP_USD]]/SUM(GDP_USD)</f>
        <v>1.8170764200637892E-3</v>
      </c>
      <c r="E59" t="str">
        <f>IF(Country_GDP[[#This Row],[GDP_USD]]&gt;=1000000,"T1",
 IF(Country_GDP[[#This Row],[GDP_USD]]&gt;=500000,"T2",
 IF(Country_GDP[[#This Row],[GDP_USD]]&gt;=100000,"T3",
 "T4")))</f>
        <v>T3</v>
      </c>
      <c r="F59" s="1">
        <f>Country_GDP[[#This Row],[GDP_USD]]/MAX(GDP_USD)</f>
        <v>7.0474509002509738E-3</v>
      </c>
      <c r="G59" s="1">
        <f>Country_GDP[[#This Row],[GDP_USD]]/SUM(GDP_USD)</f>
        <v>1.8170764200637892E-3</v>
      </c>
    </row>
    <row r="60" spans="1:7" x14ac:dyDescent="0.35">
      <c r="A60">
        <f>_xlfn.RANK.EQ(Country_GDP[[#This Row],[GDP_USD]],Country_GDP[GDP_USD])</f>
        <v>59</v>
      </c>
      <c r="B60" t="s">
        <v>54</v>
      </c>
      <c r="C60">
        <v>196121</v>
      </c>
      <c r="D60" s="1">
        <f>Country_GDP[[#This Row],[GDP_USD]]/SUM(GDP_USD)</f>
        <v>1.5890860325754169E-3</v>
      </c>
      <c r="E60" t="str">
        <f>IF(Country_GDP[[#This Row],[GDP_USD]]&gt;=1000000,"T1",
 IF(Country_GDP[[#This Row],[GDP_USD]]&gt;=500000,"T2",
 IF(Country_GDP[[#This Row],[GDP_USD]]&gt;=100000,"T3",
 "T4")))</f>
        <v>T3</v>
      </c>
      <c r="F60" s="1">
        <f>Country_GDP[[#This Row],[GDP_USD]]/MAX(GDP_USD)</f>
        <v>6.1632002194254021E-3</v>
      </c>
      <c r="G60" s="1">
        <f>Country_GDP[[#This Row],[GDP_USD]]/SUM(GDP_USD)</f>
        <v>1.5890860325754169E-3</v>
      </c>
    </row>
    <row r="61" spans="1:7" x14ac:dyDescent="0.35">
      <c r="A61">
        <f>_xlfn.RANK.EQ(Country_GDP[[#This Row],[GDP_USD]],Country_GDP[GDP_USD])</f>
        <v>60</v>
      </c>
      <c r="B61" t="s">
        <v>55</v>
      </c>
      <c r="C61">
        <v>167730</v>
      </c>
      <c r="D61" s="1">
        <f>Country_GDP[[#This Row],[GDP_USD]]/SUM(GDP_USD)</f>
        <v>1.3590456924239356E-3</v>
      </c>
      <c r="E61" t="str">
        <f>IF(Country_GDP[[#This Row],[GDP_USD]]&gt;=1000000,"T1",
 IF(Country_GDP[[#This Row],[GDP_USD]]&gt;=500000,"T2",
 IF(Country_GDP[[#This Row],[GDP_USD]]&gt;=100000,"T3",
 "T4")))</f>
        <v>T3</v>
      </c>
      <c r="F61" s="1">
        <f>Country_GDP[[#This Row],[GDP_USD]]/MAX(GDP_USD)</f>
        <v>5.2709988874430711E-3</v>
      </c>
      <c r="G61" s="1">
        <f>Country_GDP[[#This Row],[GDP_USD]]/SUM(GDP_USD)</f>
        <v>1.3590456924239356E-3</v>
      </c>
    </row>
    <row r="62" spans="1:7" x14ac:dyDescent="0.35">
      <c r="A62">
        <f>_xlfn.RANK.EQ(Country_GDP[[#This Row],[GDP_USD]],Country_GDP[GDP_USD])</f>
        <v>61</v>
      </c>
      <c r="B62" t="s">
        <v>56</v>
      </c>
      <c r="C62">
        <v>162895</v>
      </c>
      <c r="D62" s="1">
        <f>Country_GDP[[#This Row],[GDP_USD]]/SUM(GDP_USD)</f>
        <v>1.3198697195933762E-3</v>
      </c>
      <c r="E62" t="str">
        <f>IF(Country_GDP[[#This Row],[GDP_USD]]&gt;=1000000,"T1",
 IF(Country_GDP[[#This Row],[GDP_USD]]&gt;=500000,"T2",
 IF(Country_GDP[[#This Row],[GDP_USD]]&gt;=100000,"T3",
 "T4")))</f>
        <v>T3</v>
      </c>
      <c r="F62" s="1">
        <f>Country_GDP[[#This Row],[GDP_USD]]/MAX(GDP_USD)</f>
        <v>5.1190566015026483E-3</v>
      </c>
      <c r="G62" s="1">
        <f>Country_GDP[[#This Row],[GDP_USD]]/SUM(GDP_USD)</f>
        <v>1.3198697195933762E-3</v>
      </c>
    </row>
    <row r="63" spans="1:7" x14ac:dyDescent="0.35">
      <c r="A63">
        <f>_xlfn.RANK.EQ(Country_GDP[[#This Row],[GDP_USD]],Country_GDP[GDP_USD])</f>
        <v>62</v>
      </c>
      <c r="B63" t="s">
        <v>57</v>
      </c>
      <c r="C63">
        <v>159199</v>
      </c>
      <c r="D63" s="1">
        <f>Country_GDP[[#This Row],[GDP_USD]]/SUM(GDP_USD)</f>
        <v>1.289922585036655E-3</v>
      </c>
      <c r="E63" t="str">
        <f>IF(Country_GDP[[#This Row],[GDP_USD]]&gt;=1000000,"T1",
 IF(Country_GDP[[#This Row],[GDP_USD]]&gt;=500000,"T2",
 IF(Country_GDP[[#This Row],[GDP_USD]]&gt;=100000,"T3",
 "T4")))</f>
        <v>T3</v>
      </c>
      <c r="F63" s="1">
        <f>Country_GDP[[#This Row],[GDP_USD]]/MAX(GDP_USD)</f>
        <v>5.0029079585169594E-3</v>
      </c>
      <c r="G63" s="1">
        <f>Country_GDP[[#This Row],[GDP_USD]]/SUM(GDP_USD)</f>
        <v>1.289922585036655E-3</v>
      </c>
    </row>
    <row r="64" spans="1:7" x14ac:dyDescent="0.35">
      <c r="A64">
        <f>_xlfn.RANK.EQ(Country_GDP[[#This Row],[GDP_USD]],Country_GDP[GDP_USD])</f>
        <v>63</v>
      </c>
      <c r="B64" t="s">
        <v>58</v>
      </c>
      <c r="C64">
        <v>142203</v>
      </c>
      <c r="D64" s="1">
        <f>Country_GDP[[#This Row],[GDP_USD]]/SUM(GDP_USD)</f>
        <v>1.152211140522035E-3</v>
      </c>
      <c r="E64" t="str">
        <f>IF(Country_GDP[[#This Row],[GDP_USD]]&gt;=1000000,"T1",
 IF(Country_GDP[[#This Row],[GDP_USD]]&gt;=500000,"T2",
 IF(Country_GDP[[#This Row],[GDP_USD]]&gt;=100000,"T3",
 "T4")))</f>
        <v>T3</v>
      </c>
      <c r="F64" s="1">
        <f>Country_GDP[[#This Row],[GDP_USD]]/MAX(GDP_USD)</f>
        <v>4.4688001835751926E-3</v>
      </c>
      <c r="G64" s="1">
        <f>Country_GDP[[#This Row],[GDP_USD]]/SUM(GDP_USD)</f>
        <v>1.152211140522035E-3</v>
      </c>
    </row>
    <row r="65" spans="1:7" x14ac:dyDescent="0.35">
      <c r="A65">
        <f>_xlfn.RANK.EQ(Country_GDP[[#This Row],[GDP_USD]],Country_GDP[GDP_USD])</f>
        <v>64</v>
      </c>
      <c r="B65" t="s">
        <v>59</v>
      </c>
      <c r="C65">
        <v>140871</v>
      </c>
      <c r="D65" s="1">
        <f>Country_GDP[[#This Row],[GDP_USD]]/SUM(GDP_USD)</f>
        <v>1.1414185043668529E-3</v>
      </c>
      <c r="E65" t="str">
        <f>IF(Country_GDP[[#This Row],[GDP_USD]]&gt;=1000000,"T1",
 IF(Country_GDP[[#This Row],[GDP_USD]]&gt;=500000,"T2",
 IF(Country_GDP[[#This Row],[GDP_USD]]&gt;=100000,"T3",
 "T4")))</f>
        <v>T3</v>
      </c>
      <c r="F65" s="1">
        <f>Country_GDP[[#This Row],[GDP_USD]]/MAX(GDP_USD)</f>
        <v>4.4269414193822982E-3</v>
      </c>
      <c r="G65" s="1">
        <f>Country_GDP[[#This Row],[GDP_USD]]/SUM(GDP_USD)</f>
        <v>1.1414185043668529E-3</v>
      </c>
    </row>
    <row r="66" spans="1:7" x14ac:dyDescent="0.35">
      <c r="A66">
        <f>_xlfn.RANK.EQ(Country_GDP[[#This Row],[GDP_USD]],Country_GDP[GDP_USD])</f>
        <v>65</v>
      </c>
      <c r="B66" t="s">
        <v>60</v>
      </c>
      <c r="C66">
        <v>138340</v>
      </c>
      <c r="D66" s="1">
        <f>Country_GDP[[#This Row],[GDP_USD]]/SUM(GDP_USD)</f>
        <v>1.1209108751560678E-3</v>
      </c>
      <c r="E66" t="str">
        <f>IF(Country_GDP[[#This Row],[GDP_USD]]&gt;=1000000,"T1",
 IF(Country_GDP[[#This Row],[GDP_USD]]&gt;=500000,"T2",
 IF(Country_GDP[[#This Row],[GDP_USD]]&gt;=100000,"T3",
 "T4")))</f>
        <v>T3</v>
      </c>
      <c r="F66" s="1">
        <f>Country_GDP[[#This Row],[GDP_USD]]/MAX(GDP_USD)</f>
        <v>4.3474034823160704E-3</v>
      </c>
      <c r="G66" s="1">
        <f>Country_GDP[[#This Row],[GDP_USD]]/SUM(GDP_USD)</f>
        <v>1.1209108751560678E-3</v>
      </c>
    </row>
    <row r="67" spans="1:7" x14ac:dyDescent="0.35">
      <c r="A67">
        <f>_xlfn.RANK.EQ(Country_GDP[[#This Row],[GDP_USD]],Country_GDP[GDP_USD])</f>
        <v>66</v>
      </c>
      <c r="B67" t="s">
        <v>61</v>
      </c>
      <c r="C67">
        <v>134711</v>
      </c>
      <c r="D67" s="1">
        <f>Country_GDP[[#This Row],[GDP_USD]]/SUM(GDP_USD)</f>
        <v>1.091506613438984E-3</v>
      </c>
      <c r="E67" t="str">
        <f>IF(Country_GDP[[#This Row],[GDP_USD]]&gt;=1000000,"T1",
 IF(Country_GDP[[#This Row],[GDP_USD]]&gt;=500000,"T2",
 IF(Country_GDP[[#This Row],[GDP_USD]]&gt;=100000,"T3",
 "T4")))</f>
        <v>T3</v>
      </c>
      <c r="F67" s="1">
        <f>Country_GDP[[#This Row],[GDP_USD]]/MAX(GDP_USD)</f>
        <v>4.2333603477394842E-3</v>
      </c>
      <c r="G67" s="1">
        <f>Country_GDP[[#This Row],[GDP_USD]]/SUM(GDP_USD)</f>
        <v>1.091506613438984E-3</v>
      </c>
    </row>
    <row r="68" spans="1:7" x14ac:dyDescent="0.35">
      <c r="A68">
        <f>_xlfn.RANK.EQ(Country_GDP[[#This Row],[GDP_USD]],Country_GDP[GDP_USD])</f>
        <v>67</v>
      </c>
      <c r="B68" t="s">
        <v>62</v>
      </c>
      <c r="C68">
        <v>129466</v>
      </c>
      <c r="D68" s="1">
        <f>Country_GDP[[#This Row],[GDP_USD]]/SUM(GDP_USD)</f>
        <v>1.0490085829330308E-3</v>
      </c>
      <c r="E68" t="str">
        <f>IF(Country_GDP[[#This Row],[GDP_USD]]&gt;=1000000,"T1",
 IF(Country_GDP[[#This Row],[GDP_USD]]&gt;=500000,"T2",
 IF(Country_GDP[[#This Row],[GDP_USD]]&gt;=100000,"T3",
 "T4")))</f>
        <v>T3</v>
      </c>
      <c r="F68" s="1">
        <f>Country_GDP[[#This Row],[GDP_USD]]/MAX(GDP_USD)</f>
        <v>4.0685336073553015E-3</v>
      </c>
      <c r="G68" s="1">
        <f>Country_GDP[[#This Row],[GDP_USD]]/SUM(GDP_USD)</f>
        <v>1.0490085829330308E-3</v>
      </c>
    </row>
    <row r="69" spans="1:7" x14ac:dyDescent="0.35">
      <c r="A69">
        <f>_xlfn.RANK.EQ(Country_GDP[[#This Row],[GDP_USD]],Country_GDP[GDP_USD])</f>
        <v>68</v>
      </c>
      <c r="B69" t="s">
        <v>63</v>
      </c>
      <c r="C69">
        <v>129192</v>
      </c>
      <c r="D69" s="1">
        <f>Country_GDP[[#This Row],[GDP_USD]]/SUM(GDP_USD)</f>
        <v>1.0467884760963042E-3</v>
      </c>
      <c r="E69" t="str">
        <f>IF(Country_GDP[[#This Row],[GDP_USD]]&gt;=1000000,"T1",
 IF(Country_GDP[[#This Row],[GDP_USD]]&gt;=500000,"T2",
 IF(Country_GDP[[#This Row],[GDP_USD]]&gt;=100000,"T3",
 "T4")))</f>
        <v>T3</v>
      </c>
      <c r="F69" s="1">
        <f>Country_GDP[[#This Row],[GDP_USD]]/MAX(GDP_USD)</f>
        <v>4.0599230207270329E-3</v>
      </c>
      <c r="G69" s="1">
        <f>Country_GDP[[#This Row],[GDP_USD]]/SUM(GDP_USD)</f>
        <v>1.0467884760963042E-3</v>
      </c>
    </row>
    <row r="70" spans="1:7" x14ac:dyDescent="0.35">
      <c r="A70">
        <f>_xlfn.RANK.EQ(Country_GDP[[#This Row],[GDP_USD]],Country_GDP[GDP_USD])</f>
        <v>69</v>
      </c>
      <c r="B70" t="s">
        <v>64</v>
      </c>
      <c r="C70">
        <v>125744</v>
      </c>
      <c r="D70" s="1">
        <f>Country_GDP[[#This Row],[GDP_USD]]/SUM(GDP_USD)</f>
        <v>1.0188507813042114E-3</v>
      </c>
      <c r="E70" t="str">
        <f>IF(Country_GDP[[#This Row],[GDP_USD]]&gt;=1000000,"T1",
 IF(Country_GDP[[#This Row],[GDP_USD]]&gt;=500000,"T2",
 IF(Country_GDP[[#This Row],[GDP_USD]]&gt;=100000,"T3",
 "T4")))</f>
        <v>T3</v>
      </c>
      <c r="F70" s="1">
        <f>Country_GDP[[#This Row],[GDP_USD]]/MAX(GDP_USD)</f>
        <v>3.9515679014048861E-3</v>
      </c>
      <c r="G70" s="1">
        <f>Country_GDP[[#This Row],[GDP_USD]]/SUM(GDP_USD)</f>
        <v>1.0188507813042114E-3</v>
      </c>
    </row>
    <row r="71" spans="1:7" x14ac:dyDescent="0.35">
      <c r="A71">
        <f>_xlfn.RANK.EQ(Country_GDP[[#This Row],[GDP_USD]],Country_GDP[GDP_USD])</f>
        <v>70</v>
      </c>
      <c r="B71" t="s">
        <v>65</v>
      </c>
      <c r="C71">
        <v>113494</v>
      </c>
      <c r="D71" s="1">
        <f>Country_GDP[[#This Row],[GDP_USD]]/SUM(GDP_USD)</f>
        <v>9.1959418002719934E-4</v>
      </c>
      <c r="E71" t="str">
        <f>IF(Country_GDP[[#This Row],[GDP_USD]]&gt;=1000000,"T1",
 IF(Country_GDP[[#This Row],[GDP_USD]]&gt;=500000,"T2",
 IF(Country_GDP[[#This Row],[GDP_USD]]&gt;=100000,"T3",
 "T4")))</f>
        <v>T3</v>
      </c>
      <c r="F71" s="1">
        <f>Country_GDP[[#This Row],[GDP_USD]]/MAX(GDP_USD)</f>
        <v>3.5666055430242888E-3</v>
      </c>
      <c r="G71" s="1">
        <f>Country_GDP[[#This Row],[GDP_USD]]/SUM(GDP_USD)</f>
        <v>9.1959418002719934E-4</v>
      </c>
    </row>
    <row r="72" spans="1:7" x14ac:dyDescent="0.35">
      <c r="A72">
        <f>_xlfn.RANK.EQ(Country_GDP[[#This Row],[GDP_USD]],Country_GDP[GDP_USD])</f>
        <v>71</v>
      </c>
      <c r="B72" t="s">
        <v>66</v>
      </c>
      <c r="C72">
        <v>113132</v>
      </c>
      <c r="D72" s="1">
        <f>Country_GDP[[#This Row],[GDP_USD]]/SUM(GDP_USD)</f>
        <v>9.1666104617721747E-4</v>
      </c>
      <c r="E72" t="str">
        <f>IF(Country_GDP[[#This Row],[GDP_USD]]&gt;=1000000,"T1",
 IF(Country_GDP[[#This Row],[GDP_USD]]&gt;=500000,"T2",
 IF(Country_GDP[[#This Row],[GDP_USD]]&gt;=100000,"T3",
 "T4")))</f>
        <v>T3</v>
      </c>
      <c r="F72" s="1">
        <f>Country_GDP[[#This Row],[GDP_USD]]/MAX(GDP_USD)</f>
        <v>3.555229512515409E-3</v>
      </c>
      <c r="G72" s="1">
        <f>Country_GDP[[#This Row],[GDP_USD]]/SUM(GDP_USD)</f>
        <v>9.1666104617721747E-4</v>
      </c>
    </row>
    <row r="73" spans="1:7" x14ac:dyDescent="0.35">
      <c r="A73">
        <f>_xlfn.RANK.EQ(Country_GDP[[#This Row],[GDP_USD]],Country_GDP[GDP_USD])</f>
        <v>72</v>
      </c>
      <c r="B73" t="s">
        <v>67</v>
      </c>
      <c r="C73">
        <v>112108</v>
      </c>
      <c r="D73" s="1">
        <f>Country_GDP[[#This Row],[GDP_USD]]/SUM(GDP_USD)</f>
        <v>9.0836400456842891E-4</v>
      </c>
      <c r="E73" t="str">
        <f>IF(Country_GDP[[#This Row],[GDP_USD]]&gt;=1000000,"T1",
 IF(Country_GDP[[#This Row],[GDP_USD]]&gt;=500000,"T2",
 IF(Country_GDP[[#This Row],[GDP_USD]]&gt;=100000,"T3",
 "T4")))</f>
        <v>T3</v>
      </c>
      <c r="F73" s="1">
        <f>Country_GDP[[#This Row],[GDP_USD]]/MAX(GDP_USD)</f>
        <v>3.5230498019046554E-3</v>
      </c>
      <c r="G73" s="1">
        <f>Country_GDP[[#This Row],[GDP_USD]]/SUM(GDP_USD)</f>
        <v>9.0836400456842891E-4</v>
      </c>
    </row>
    <row r="74" spans="1:7" x14ac:dyDescent="0.35">
      <c r="A74">
        <f>_xlfn.RANK.EQ(Country_GDP[[#This Row],[GDP_USD]],Country_GDP[GDP_USD])</f>
        <v>73</v>
      </c>
      <c r="B74" t="s">
        <v>68</v>
      </c>
      <c r="C74">
        <v>111446</v>
      </c>
      <c r="D74" s="1">
        <f>Country_GDP[[#This Row],[GDP_USD]]/SUM(GDP_USD)</f>
        <v>9.0300009680962222E-4</v>
      </c>
      <c r="E74" t="str">
        <f>IF(Country_GDP[[#This Row],[GDP_USD]]&gt;=1000000,"T1",
 IF(Country_GDP[[#This Row],[GDP_USD]]&gt;=500000,"T2",
 IF(Country_GDP[[#This Row],[GDP_USD]]&gt;=100000,"T3",
 "T4")))</f>
        <v>T3</v>
      </c>
      <c r="F74" s="1">
        <f>Country_GDP[[#This Row],[GDP_USD]]/MAX(GDP_USD)</f>
        <v>3.5022461218027815E-3</v>
      </c>
      <c r="G74" s="1">
        <f>Country_GDP[[#This Row],[GDP_USD]]/SUM(GDP_USD)</f>
        <v>9.0300009680962222E-4</v>
      </c>
    </row>
    <row r="75" spans="1:7" x14ac:dyDescent="0.35">
      <c r="A75">
        <f>_xlfn.RANK.EQ(Country_GDP[[#This Row],[GDP_USD]],Country_GDP[GDP_USD])</f>
        <v>74</v>
      </c>
      <c r="B75" t="s">
        <v>69</v>
      </c>
      <c r="C75">
        <v>109855</v>
      </c>
      <c r="D75" s="1">
        <f>Country_GDP[[#This Row],[GDP_USD]]/SUM(GDP_USD)</f>
        <v>8.9010889251315477E-4</v>
      </c>
      <c r="E75" t="str">
        <f>IF(Country_GDP[[#This Row],[GDP_USD]]&gt;=1000000,"T1",
 IF(Country_GDP[[#This Row],[GDP_USD]]&gt;=500000,"T2",
 IF(Country_GDP[[#This Row],[GDP_USD]]&gt;=100000,"T3",
 "T4")))</f>
        <v>T3</v>
      </c>
      <c r="F75" s="1">
        <f>Country_GDP[[#This Row],[GDP_USD]]/MAX(GDP_USD)</f>
        <v>3.4522481534612686E-3</v>
      </c>
      <c r="G75" s="1">
        <f>Country_GDP[[#This Row],[GDP_USD]]/SUM(GDP_USD)</f>
        <v>8.9010889251315477E-4</v>
      </c>
    </row>
    <row r="76" spans="1:7" x14ac:dyDescent="0.35">
      <c r="A76">
        <f>_xlfn.RANK.EQ(Country_GDP[[#This Row],[GDP_USD]],Country_GDP[GDP_USD])</f>
        <v>75</v>
      </c>
      <c r="B76" t="s">
        <v>70</v>
      </c>
      <c r="C76">
        <v>109135</v>
      </c>
      <c r="D76" s="1">
        <f>Country_GDP[[#This Row],[GDP_USD]]/SUM(GDP_USD)</f>
        <v>8.8427503513197525E-4</v>
      </c>
      <c r="E76" t="str">
        <f>IF(Country_GDP[[#This Row],[GDP_USD]]&gt;=1000000,"T1",
 IF(Country_GDP[[#This Row],[GDP_USD]]&gt;=500000,"T2",
 IF(Country_GDP[[#This Row],[GDP_USD]]&gt;=100000,"T3",
 "T4")))</f>
        <v>T3</v>
      </c>
      <c r="F76" s="1">
        <f>Country_GDP[[#This Row],[GDP_USD]]/MAX(GDP_USD)</f>
        <v>3.4296217944380829E-3</v>
      </c>
      <c r="G76" s="1">
        <f>Country_GDP[[#This Row],[GDP_USD]]/SUM(GDP_USD)</f>
        <v>8.8427503513197525E-4</v>
      </c>
    </row>
    <row r="77" spans="1:7" x14ac:dyDescent="0.35">
      <c r="A77">
        <f>_xlfn.RANK.EQ(Country_GDP[[#This Row],[GDP_USD]],Country_GDP[GDP_USD])</f>
        <v>76</v>
      </c>
      <c r="B77" t="s">
        <v>71</v>
      </c>
      <c r="C77">
        <v>108913</v>
      </c>
      <c r="D77" s="1">
        <f>Country_GDP[[#This Row],[GDP_USD]]/SUM(GDP_USD)</f>
        <v>8.8247626243944494E-4</v>
      </c>
      <c r="E77" t="str">
        <f>IF(Country_GDP[[#This Row],[GDP_USD]]&gt;=1000000,"T1",
 IF(Country_GDP[[#This Row],[GDP_USD]]&gt;=500000,"T2",
 IF(Country_GDP[[#This Row],[GDP_USD]]&gt;=100000,"T3",
 "T4")))</f>
        <v>T3</v>
      </c>
      <c r="F77" s="1">
        <f>Country_GDP[[#This Row],[GDP_USD]]/MAX(GDP_USD)</f>
        <v>3.4226453337392669E-3</v>
      </c>
      <c r="G77" s="1">
        <f>Country_GDP[[#This Row],[GDP_USD]]/SUM(GDP_USD)</f>
        <v>8.8247626243944494E-4</v>
      </c>
    </row>
    <row r="78" spans="1:7" x14ac:dyDescent="0.35">
      <c r="A78">
        <f>_xlfn.RANK.EQ(Country_GDP[[#This Row],[GDP_USD]],Country_GDP[GDP_USD])</f>
        <v>77</v>
      </c>
      <c r="B78" t="s">
        <v>72</v>
      </c>
      <c r="C78">
        <v>107758</v>
      </c>
      <c r="D78" s="1">
        <f>Country_GDP[[#This Row],[GDP_USD]]/SUM(GDP_USD)</f>
        <v>8.7311778289046954E-4</v>
      </c>
      <c r="E78" t="str">
        <f>IF(Country_GDP[[#This Row],[GDP_USD]]&gt;=1000000,"T1",
 IF(Country_GDP[[#This Row],[GDP_USD]]&gt;=500000,"T2",
 IF(Country_GDP[[#This Row],[GDP_USD]]&gt;=100000,"T3",
 "T4")))</f>
        <v>T3</v>
      </c>
      <c r="F78" s="1">
        <f>Country_GDP[[#This Row],[GDP_USD]]/MAX(GDP_USD)</f>
        <v>3.3863488828062391E-3</v>
      </c>
      <c r="G78" s="1">
        <f>Country_GDP[[#This Row],[GDP_USD]]/SUM(GDP_USD)</f>
        <v>8.7311778289046954E-4</v>
      </c>
    </row>
    <row r="79" spans="1:7" x14ac:dyDescent="0.35">
      <c r="A79">
        <f>_xlfn.RANK.EQ(Country_GDP[[#This Row],[GDP_USD]],Country_GDP[GDP_USD])</f>
        <v>78</v>
      </c>
      <c r="B79" t="s">
        <v>73</v>
      </c>
      <c r="C79">
        <v>104651</v>
      </c>
      <c r="D79" s="1">
        <f>Country_GDP[[#This Row],[GDP_USD]]/SUM(GDP_USD)</f>
        <v>8.4794306777474088E-4</v>
      </c>
      <c r="E79" t="str">
        <f>IF(Country_GDP[[#This Row],[GDP_USD]]&gt;=1000000,"T1",
 IF(Country_GDP[[#This Row],[GDP_USD]]&gt;=500000,"T2",
 IF(Country_GDP[[#This Row],[GDP_USD]]&gt;=100000,"T3",
 "T4")))</f>
        <v>T3</v>
      </c>
      <c r="F79" s="1">
        <f>Country_GDP[[#This Row],[GDP_USD]]/MAX(GDP_USD)</f>
        <v>3.2887098585214622E-3</v>
      </c>
      <c r="G79" s="1">
        <f>Country_GDP[[#This Row],[GDP_USD]]/SUM(GDP_USD)</f>
        <v>8.4794306777474088E-4</v>
      </c>
    </row>
    <row r="80" spans="1:7" x14ac:dyDescent="0.35">
      <c r="A80">
        <f>_xlfn.RANK.EQ(Country_GDP[[#This Row],[GDP_USD]],Country_GDP[GDP_USD])</f>
        <v>79</v>
      </c>
      <c r="B80" t="s">
        <v>74</v>
      </c>
      <c r="C80">
        <v>95905</v>
      </c>
      <c r="D80" s="1">
        <f>Country_GDP[[#This Row],[GDP_USD]]/SUM(GDP_USD)</f>
        <v>7.7707790575280245E-4</v>
      </c>
      <c r="E80" t="str">
        <f>IF(Country_GDP[[#This Row],[GDP_USD]]&gt;=1000000,"T1",
 IF(Country_GDP[[#This Row],[GDP_USD]]&gt;=500000,"T2",
 IF(Country_GDP[[#This Row],[GDP_USD]]&gt;=100000,"T3",
 "T4")))</f>
        <v>T4</v>
      </c>
      <c r="F80" s="1">
        <f>Country_GDP[[#This Row],[GDP_USD]]/MAX(GDP_USD)</f>
        <v>3.0138624473870375E-3</v>
      </c>
      <c r="G80" s="1">
        <f>Country_GDP[[#This Row],[GDP_USD]]/SUM(GDP_USD)</f>
        <v>7.7707790575280245E-4</v>
      </c>
    </row>
    <row r="81" spans="1:7" x14ac:dyDescent="0.35">
      <c r="A81">
        <f>_xlfn.RANK.EQ(Country_GDP[[#This Row],[GDP_USD]],Country_GDP[GDP_USD])</f>
        <v>80</v>
      </c>
      <c r="B81" t="s">
        <v>204</v>
      </c>
      <c r="C81">
        <v>95349</v>
      </c>
      <c r="D81" s="1">
        <f>Country_GDP[[#This Row],[GDP_USD]]/SUM(GDP_USD)</f>
        <v>7.7257287144178051E-4</v>
      </c>
      <c r="E81" t="str">
        <f>IF(Country_GDP[[#This Row],[GDP_USD]]&gt;=1000000,"T1",
 IF(Country_GDP[[#This Row],[GDP_USD]]&gt;=500000,"T2",
 IF(Country_GDP[[#This Row],[GDP_USD]]&gt;=100000,"T3",
 "T4")))</f>
        <v>T4</v>
      </c>
      <c r="F81" s="1">
        <f>Country_GDP[[#This Row],[GDP_USD]]/MAX(GDP_USD)</f>
        <v>2.9963898701413547E-3</v>
      </c>
      <c r="G81" s="1">
        <f>Country_GDP[[#This Row],[GDP_USD]]/SUM(GDP_USD)</f>
        <v>7.7257287144178051E-4</v>
      </c>
    </row>
    <row r="82" spans="1:7" x14ac:dyDescent="0.35">
      <c r="A82">
        <f>_xlfn.RANK.EQ(Country_GDP[[#This Row],[GDP_USD]],Country_GDP[GDP_USD])</f>
        <v>81</v>
      </c>
      <c r="B82" t="s">
        <v>75</v>
      </c>
      <c r="C82">
        <v>90640</v>
      </c>
      <c r="D82" s="1">
        <f>Country_GDP[[#This Row],[GDP_USD]]/SUM(GDP_USD)</f>
        <v>7.3441782365292745E-4</v>
      </c>
      <c r="E82" t="str">
        <f>IF(Country_GDP[[#This Row],[GDP_USD]]&gt;=1000000,"T1",
 IF(Country_GDP[[#This Row],[GDP_USD]]&gt;=500000,"T2",
 IF(Country_GDP[[#This Row],[GDP_USD]]&gt;=100000,"T3",
 "T4")))</f>
        <v>T4</v>
      </c>
      <c r="F82" s="1">
        <f>Country_GDP[[#This Row],[GDP_USD]]/MAX(GDP_USD)</f>
        <v>2.8484071970299885E-3</v>
      </c>
      <c r="G82" s="1">
        <f>Country_GDP[[#This Row],[GDP_USD]]/SUM(GDP_USD)</f>
        <v>7.3441782365292745E-4</v>
      </c>
    </row>
    <row r="83" spans="1:7" x14ac:dyDescent="0.35">
      <c r="A83">
        <f>_xlfn.RANK.EQ(Country_GDP[[#This Row],[GDP_USD]],Country_GDP[GDP_USD])</f>
        <v>82</v>
      </c>
      <c r="B83" t="s">
        <v>76</v>
      </c>
      <c r="C83">
        <v>90556</v>
      </c>
      <c r="D83" s="1">
        <f>Country_GDP[[#This Row],[GDP_USD]]/SUM(GDP_USD)</f>
        <v>7.337372069584566E-4</v>
      </c>
      <c r="E83" t="str">
        <f>IF(Country_GDP[[#This Row],[GDP_USD]]&gt;=1000000,"T1",
 IF(Country_GDP[[#This Row],[GDP_USD]]&gt;=500000,"T2",
 IF(Country_GDP[[#This Row],[GDP_USD]]&gt;=100000,"T3",
 "T4")))</f>
        <v>T4</v>
      </c>
      <c r="F83" s="1">
        <f>Country_GDP[[#This Row],[GDP_USD]]/MAX(GDP_USD)</f>
        <v>2.8457674551439502E-3</v>
      </c>
      <c r="G83" s="1">
        <f>Country_GDP[[#This Row],[GDP_USD]]/SUM(GDP_USD)</f>
        <v>7.337372069584566E-4</v>
      </c>
    </row>
    <row r="84" spans="1:7" x14ac:dyDescent="0.35">
      <c r="A84">
        <f>_xlfn.RANK.EQ(Country_GDP[[#This Row],[GDP_USD]],Country_GDP[GDP_USD])</f>
        <v>83</v>
      </c>
      <c r="B84" t="s">
        <v>77</v>
      </c>
      <c r="C84">
        <v>88126</v>
      </c>
      <c r="D84" s="1">
        <f>Country_GDP[[#This Row],[GDP_USD]]/SUM(GDP_USD)</f>
        <v>7.140479382969758E-4</v>
      </c>
      <c r="E84" t="str">
        <f>IF(Country_GDP[[#This Row],[GDP_USD]]&gt;=1000000,"T1",
 IF(Country_GDP[[#This Row],[GDP_USD]]&gt;=500000,"T2",
 IF(Country_GDP[[#This Row],[GDP_USD]]&gt;=100000,"T3",
 "T4")))</f>
        <v>T4</v>
      </c>
      <c r="F84" s="1">
        <f>Country_GDP[[#This Row],[GDP_USD]]/MAX(GDP_USD)</f>
        <v>2.7694034934406973E-3</v>
      </c>
      <c r="G84" s="1">
        <f>Country_GDP[[#This Row],[GDP_USD]]/SUM(GDP_USD)</f>
        <v>7.140479382969758E-4</v>
      </c>
    </row>
    <row r="85" spans="1:7" x14ac:dyDescent="0.35">
      <c r="A85">
        <f>_xlfn.RANK.EQ(Country_GDP[[#This Row],[GDP_USD]],Country_GDP[GDP_USD])</f>
        <v>84</v>
      </c>
      <c r="B85" t="s">
        <v>78</v>
      </c>
      <c r="C85">
        <v>85738</v>
      </c>
      <c r="D85" s="1">
        <f>Country_GDP[[#This Row],[GDP_USD]]/SUM(GDP_USD)</f>
        <v>6.946989779827306E-4</v>
      </c>
      <c r="E85" t="str">
        <f>IF(Country_GDP[[#This Row],[GDP_USD]]&gt;=1000000,"T1",
 IF(Country_GDP[[#This Row],[GDP_USD]]&gt;=500000,"T2",
 IF(Country_GDP[[#This Row],[GDP_USD]]&gt;=100000,"T3",
 "T4")))</f>
        <v>T4</v>
      </c>
      <c r="F85" s="1">
        <f>Country_GDP[[#This Row],[GDP_USD]]/MAX(GDP_USD)</f>
        <v>2.6943594026804631E-3</v>
      </c>
      <c r="G85" s="1">
        <f>Country_GDP[[#This Row],[GDP_USD]]/SUM(GDP_USD)</f>
        <v>6.946989779827306E-4</v>
      </c>
    </row>
    <row r="86" spans="1:7" x14ac:dyDescent="0.35">
      <c r="A86">
        <f>_xlfn.RANK.EQ(Country_GDP[[#This Row],[GDP_USD]],Country_GDP[GDP_USD])</f>
        <v>85</v>
      </c>
      <c r="B86" t="s">
        <v>79</v>
      </c>
      <c r="C86">
        <v>80024</v>
      </c>
      <c r="D86" s="1">
        <f>Country_GDP[[#This Row],[GDP_USD]]/SUM(GDP_USD)</f>
        <v>6.4840083759931449E-4</v>
      </c>
      <c r="E86" t="str">
        <f>IF(Country_GDP[[#This Row],[GDP_USD]]&gt;=1000000,"T1",
 IF(Country_GDP[[#This Row],[GDP_USD]]&gt;=500000,"T2",
 IF(Country_GDP[[#This Row],[GDP_USD]]&gt;=100000,"T3",
 "T4")))</f>
        <v>T4</v>
      </c>
      <c r="F86" s="1">
        <f>Country_GDP[[#This Row],[GDP_USD]]/MAX(GDP_USD)</f>
        <v>2.5147941034325662E-3</v>
      </c>
      <c r="G86" s="1">
        <f>Country_GDP[[#This Row],[GDP_USD]]/SUM(GDP_USD)</f>
        <v>6.4840083759931449E-4</v>
      </c>
    </row>
    <row r="87" spans="1:7" x14ac:dyDescent="0.35">
      <c r="A87">
        <f>_xlfn.RANK.EQ(Country_GDP[[#This Row],[GDP_USD]],Country_GDP[GDP_USD])</f>
        <v>86</v>
      </c>
      <c r="B87" t="s">
        <v>80</v>
      </c>
      <c r="C87">
        <v>79916</v>
      </c>
      <c r="D87" s="1">
        <f>Country_GDP[[#This Row],[GDP_USD]]/SUM(GDP_USD)</f>
        <v>6.4752575899213762E-4</v>
      </c>
      <c r="E87" t="str">
        <f>IF(Country_GDP[[#This Row],[GDP_USD]]&gt;=1000000,"T1",
 IF(Country_GDP[[#This Row],[GDP_USD]]&gt;=500000,"T2",
 IF(Country_GDP[[#This Row],[GDP_USD]]&gt;=100000,"T3",
 "T4")))</f>
        <v>T4</v>
      </c>
      <c r="F87" s="1">
        <f>Country_GDP[[#This Row],[GDP_USD]]/MAX(GDP_USD)</f>
        <v>2.5114001495790883E-3</v>
      </c>
      <c r="G87" s="1">
        <f>Country_GDP[[#This Row],[GDP_USD]]/SUM(GDP_USD)</f>
        <v>6.4752575899213762E-4</v>
      </c>
    </row>
    <row r="88" spans="1:7" x14ac:dyDescent="0.35">
      <c r="A88">
        <f>_xlfn.RANK.EQ(Country_GDP[[#This Row],[GDP_USD]],Country_GDP[GDP_USD])</f>
        <v>87</v>
      </c>
      <c r="B88" t="s">
        <v>81</v>
      </c>
      <c r="C88">
        <v>76897</v>
      </c>
      <c r="D88" s="1">
        <f>Country_GDP[[#This Row],[GDP_USD]]/SUM(GDP_USD)</f>
        <v>6.2306407088966425E-4</v>
      </c>
      <c r="E88" t="str">
        <f>IF(Country_GDP[[#This Row],[GDP_USD]]&gt;=1000000,"T1",
 IF(Country_GDP[[#This Row],[GDP_USD]]&gt;=500000,"T2",
 IF(Country_GDP[[#This Row],[GDP_USD]]&gt;=100000,"T3",
 "T4")))</f>
        <v>T4</v>
      </c>
      <c r="F88" s="1">
        <f>Country_GDP[[#This Row],[GDP_USD]]/MAX(GDP_USD)</f>
        <v>2.4165265691749233E-3</v>
      </c>
      <c r="G88" s="1">
        <f>Country_GDP[[#This Row],[GDP_USD]]/SUM(GDP_USD)</f>
        <v>6.2306407088966425E-4</v>
      </c>
    </row>
    <row r="89" spans="1:7" x14ac:dyDescent="0.35">
      <c r="A89">
        <f>_xlfn.RANK.EQ(Country_GDP[[#This Row],[GDP_USD]],Country_GDP[GDP_USD])</f>
        <v>88</v>
      </c>
      <c r="B89" t="s">
        <v>82</v>
      </c>
      <c r="C89">
        <v>72456</v>
      </c>
      <c r="D89" s="1">
        <f>Country_GDP[[#This Row],[GDP_USD]]/SUM(GDP_USD)</f>
        <v>5.8708051445936142E-4</v>
      </c>
      <c r="E89" t="str">
        <f>IF(Country_GDP[[#This Row],[GDP_USD]]&gt;=1000000,"T1",
 IF(Country_GDP[[#This Row],[GDP_USD]]&gt;=500000,"T2",
 IF(Country_GDP[[#This Row],[GDP_USD]]&gt;=100000,"T3",
 "T4")))</f>
        <v>T4</v>
      </c>
      <c r="F89" s="1">
        <f>Country_GDP[[#This Row],[GDP_USD]]/MAX(GDP_USD)</f>
        <v>2.2769659296999652E-3</v>
      </c>
      <c r="G89" s="1">
        <f>Country_GDP[[#This Row],[GDP_USD]]/SUM(GDP_USD)</f>
        <v>5.8708051445936142E-4</v>
      </c>
    </row>
    <row r="90" spans="1:7" x14ac:dyDescent="0.35">
      <c r="A90">
        <f>_xlfn.RANK.EQ(Country_GDP[[#This Row],[GDP_USD]],Country_GDP[GDP_USD])</f>
        <v>89</v>
      </c>
      <c r="B90" t="s">
        <v>83</v>
      </c>
      <c r="C90">
        <v>67517</v>
      </c>
      <c r="D90" s="1">
        <f>Country_GDP[[#This Row],[GDP_USD]]/SUM(GDP_USD)</f>
        <v>5.4706187334040938E-4</v>
      </c>
      <c r="E90" t="str">
        <f>IF(Country_GDP[[#This Row],[GDP_USD]]&gt;=1000000,"T1",
 IF(Country_GDP[[#This Row],[GDP_USD]]&gt;=500000,"T2",
 IF(Country_GDP[[#This Row],[GDP_USD]]&gt;=100000,"T3",
 "T4")))</f>
        <v>T4</v>
      </c>
      <c r="F90" s="1">
        <f>Country_GDP[[#This Row],[GDP_USD]]/MAX(GDP_USD)</f>
        <v>2.1217553919006373E-3</v>
      </c>
      <c r="G90" s="1">
        <f>Country_GDP[[#This Row],[GDP_USD]]/SUM(GDP_USD)</f>
        <v>5.4706187334040938E-4</v>
      </c>
    </row>
    <row r="91" spans="1:7" x14ac:dyDescent="0.35">
      <c r="A91">
        <f>_xlfn.RANK.EQ(Country_GDP[[#This Row],[GDP_USD]],Country_GDP[GDP_USD])</f>
        <v>90</v>
      </c>
      <c r="B91" t="s">
        <v>84</v>
      </c>
      <c r="C91">
        <v>65171</v>
      </c>
      <c r="D91" s="1">
        <f>Country_GDP[[#This Row],[GDP_USD]]/SUM(GDP_USD)</f>
        <v>5.2805322137339955E-4</v>
      </c>
      <c r="E91" t="str">
        <f>IF(Country_GDP[[#This Row],[GDP_USD]]&gt;=1000000,"T1",
 IF(Country_GDP[[#This Row],[GDP_USD]]&gt;=500000,"T2",
 IF(Country_GDP[[#This Row],[GDP_USD]]&gt;=100000,"T3",
 "T4")))</f>
        <v>T4</v>
      </c>
      <c r="F91" s="1">
        <f>Country_GDP[[#This Row],[GDP_USD]]/MAX(GDP_USD)</f>
        <v>2.0480311720834222E-3</v>
      </c>
      <c r="G91" s="1">
        <f>Country_GDP[[#This Row],[GDP_USD]]/SUM(GDP_USD)</f>
        <v>5.2805322137339955E-4</v>
      </c>
    </row>
    <row r="92" spans="1:7" x14ac:dyDescent="0.35">
      <c r="A92">
        <f>_xlfn.RANK.EQ(Country_GDP[[#This Row],[GDP_USD]],Country_GDP[GDP_USD])</f>
        <v>91</v>
      </c>
      <c r="B92" t="s">
        <v>85</v>
      </c>
      <c r="C92">
        <v>60434</v>
      </c>
      <c r="D92" s="1">
        <f>Country_GDP[[#This Row],[GDP_USD]]/SUM(GDP_USD)</f>
        <v>4.8967130135305623E-4</v>
      </c>
      <c r="E92" t="str">
        <f>IF(Country_GDP[[#This Row],[GDP_USD]]&gt;=1000000,"T1",
 IF(Country_GDP[[#This Row],[GDP_USD]]&gt;=500000,"T2",
 IF(Country_GDP[[#This Row],[GDP_USD]]&gt;=100000,"T3",
 "T4")))</f>
        <v>T4</v>
      </c>
      <c r="F92" s="1">
        <f>Country_GDP[[#This Row],[GDP_USD]]/MAX(GDP_USD)</f>
        <v>1.8991685850100434E-3</v>
      </c>
      <c r="G92" s="1">
        <f>Country_GDP[[#This Row],[GDP_USD]]/SUM(GDP_USD)</f>
        <v>4.8967130135305623E-4</v>
      </c>
    </row>
    <row r="93" spans="1:7" x14ac:dyDescent="0.35">
      <c r="A93">
        <f>_xlfn.RANK.EQ(Country_GDP[[#This Row],[GDP_USD]],Country_GDP[GDP_USD])</f>
        <v>92</v>
      </c>
      <c r="B93" t="s">
        <v>86</v>
      </c>
      <c r="C93">
        <v>59288</v>
      </c>
      <c r="D93" s="1">
        <f>Country_GDP[[#This Row],[GDP_USD]]/SUM(GDP_USD)</f>
        <v>4.8038574502134562E-4</v>
      </c>
      <c r="E93" t="str">
        <f>IF(Country_GDP[[#This Row],[GDP_USD]]&gt;=1000000,"T1",
 IF(Country_GDP[[#This Row],[GDP_USD]]&gt;=500000,"T2",
 IF(Country_GDP[[#This Row],[GDP_USD]]&gt;=100000,"T3",
 "T4")))</f>
        <v>T4</v>
      </c>
      <c r="F93" s="1">
        <f>Country_GDP[[#This Row],[GDP_USD]]/MAX(GDP_USD)</f>
        <v>1.8631549635648055E-3</v>
      </c>
      <c r="G93" s="1">
        <f>Country_GDP[[#This Row],[GDP_USD]]/SUM(GDP_USD)</f>
        <v>4.8038574502134562E-4</v>
      </c>
    </row>
    <row r="94" spans="1:7" x14ac:dyDescent="0.35">
      <c r="A94">
        <f>_xlfn.RANK.EQ(Country_GDP[[#This Row],[GDP_USD]],Country_GDP[GDP_USD])</f>
        <v>93</v>
      </c>
      <c r="B94" t="s">
        <v>87</v>
      </c>
      <c r="C94">
        <v>57086</v>
      </c>
      <c r="D94" s="1">
        <f>Country_GDP[[#This Row],[GDP_USD]]/SUM(GDP_USD)</f>
        <v>4.6254386453057169E-4</v>
      </c>
      <c r="E94" t="str">
        <f>IF(Country_GDP[[#This Row],[GDP_USD]]&gt;=1000000,"T1",
 IF(Country_GDP[[#This Row],[GDP_USD]]&gt;=500000,"T2",
 IF(Country_GDP[[#This Row],[GDP_USD]]&gt;=100000,"T3",
 "T4")))</f>
        <v>T4</v>
      </c>
      <c r="F94" s="1">
        <f>Country_GDP[[#This Row],[GDP_USD]]/MAX(GDP_USD)</f>
        <v>1.7939560155522279E-3</v>
      </c>
      <c r="G94" s="1">
        <f>Country_GDP[[#This Row],[GDP_USD]]/SUM(GDP_USD)</f>
        <v>4.6254386453057169E-4</v>
      </c>
    </row>
    <row r="95" spans="1:7" x14ac:dyDescent="0.35">
      <c r="A95">
        <f>_xlfn.RANK.EQ(Country_GDP[[#This Row],[GDP_USD]],Country_GDP[GDP_USD])</f>
        <v>94</v>
      </c>
      <c r="B95" t="s">
        <v>88</v>
      </c>
      <c r="C95">
        <v>55434</v>
      </c>
      <c r="D95" s="1">
        <f>Country_GDP[[#This Row],[GDP_USD]]/SUM(GDP_USD)</f>
        <v>4.4915840287264324E-4</v>
      </c>
      <c r="E95" t="str">
        <f>IF(Country_GDP[[#This Row],[GDP_USD]]&gt;=1000000,"T1",
 IF(Country_GDP[[#This Row],[GDP_USD]]&gt;=500000,"T2",
 IF(Country_GDP[[#This Row],[GDP_USD]]&gt;=100000,"T3",
 "T4")))</f>
        <v>T4</v>
      </c>
      <c r="F95" s="1">
        <f>Country_GDP[[#This Row],[GDP_USD]]/MAX(GDP_USD)</f>
        <v>1.7420410917934729E-3</v>
      </c>
      <c r="G95" s="1">
        <f>Country_GDP[[#This Row],[GDP_USD]]/SUM(GDP_USD)</f>
        <v>4.4915840287264324E-4</v>
      </c>
    </row>
    <row r="96" spans="1:7" x14ac:dyDescent="0.35">
      <c r="A96">
        <f>_xlfn.RANK.EQ(Country_GDP[[#This Row],[GDP_USD]],Country_GDP[GDP_USD])</f>
        <v>95</v>
      </c>
      <c r="B96" t="s">
        <v>205</v>
      </c>
      <c r="C96">
        <v>54935</v>
      </c>
      <c r="D96" s="1">
        <f>Country_GDP[[#This Row],[GDP_USD]]/SUM(GDP_USD)</f>
        <v>4.4511521560429803E-4</v>
      </c>
      <c r="E96" t="str">
        <f>IF(Country_GDP[[#This Row],[GDP_USD]]&gt;=1000000,"T1",
 IF(Country_GDP[[#This Row],[GDP_USD]]&gt;=500000,"T2",
 IF(Country_GDP[[#This Row],[GDP_USD]]&gt;=100000,"T3",
 "T4")))</f>
        <v>T4</v>
      </c>
      <c r="F96" s="1">
        <f>Country_GDP[[#This Row],[GDP_USD]]/MAX(GDP_USD)</f>
        <v>1.7263597679704594E-3</v>
      </c>
      <c r="G96" s="1">
        <f>Country_GDP[[#This Row],[GDP_USD]]/SUM(GDP_USD)</f>
        <v>4.4511521560429803E-4</v>
      </c>
    </row>
    <row r="97" spans="1:7" x14ac:dyDescent="0.35">
      <c r="A97">
        <f>_xlfn.RANK.EQ(Country_GDP[[#This Row],[GDP_USD]],Country_GDP[GDP_USD])</f>
        <v>96</v>
      </c>
      <c r="B97" t="s">
        <v>89</v>
      </c>
      <c r="C97">
        <v>52248</v>
      </c>
      <c r="D97" s="1">
        <f>Country_GDP[[#This Row],[GDP_USD]]/SUM(GDP_USD)</f>
        <v>4.2334358396092407E-4</v>
      </c>
      <c r="E97" t="str">
        <f>IF(Country_GDP[[#This Row],[GDP_USD]]&gt;=1000000,"T1",
 IF(Country_GDP[[#This Row],[GDP_USD]]&gt;=500000,"T2",
 IF(Country_GDP[[#This Row],[GDP_USD]]&gt;=100000,"T3",
 "T4")))</f>
        <v>T4</v>
      </c>
      <c r="F97" s="1">
        <f>Country_GDP[[#This Row],[GDP_USD]]/MAX(GDP_USD)</f>
        <v>1.6419194531158744E-3</v>
      </c>
      <c r="G97" s="1">
        <f>Country_GDP[[#This Row],[GDP_USD]]/SUM(GDP_USD)</f>
        <v>4.2334358396092407E-4</v>
      </c>
    </row>
    <row r="98" spans="1:7" x14ac:dyDescent="0.35">
      <c r="A98">
        <f>_xlfn.RANK.EQ(Country_GDP[[#This Row],[GDP_USD]],Country_GDP[GDP_USD])</f>
        <v>97</v>
      </c>
      <c r="B98" t="s">
        <v>90</v>
      </c>
      <c r="C98">
        <v>51669</v>
      </c>
      <c r="D98" s="1">
        <f>Country_GDP[[#This Row],[GDP_USD]]/SUM(GDP_USD)</f>
        <v>4.1865219031689223E-4</v>
      </c>
      <c r="E98" t="str">
        <f>IF(Country_GDP[[#This Row],[GDP_USD]]&gt;=1000000,"T1",
 IF(Country_GDP[[#This Row],[GDP_USD]]&gt;=500000,"T2",
 IF(Country_GDP[[#This Row],[GDP_USD]]&gt;=100000,"T3",
 "T4")))</f>
        <v>T4</v>
      </c>
      <c r="F98" s="1">
        <f>Country_GDP[[#This Row],[GDP_USD]]/MAX(GDP_USD)</f>
        <v>1.6237240894013956E-3</v>
      </c>
      <c r="G98" s="1">
        <f>Country_GDP[[#This Row],[GDP_USD]]/SUM(GDP_USD)</f>
        <v>4.1865219031689223E-4</v>
      </c>
    </row>
    <row r="99" spans="1:7" x14ac:dyDescent="0.35">
      <c r="A99">
        <f>_xlfn.RANK.EQ(Country_GDP[[#This Row],[GDP_USD]],Country_GDP[GDP_USD])</f>
        <v>98</v>
      </c>
      <c r="B99" t="s">
        <v>91</v>
      </c>
      <c r="C99">
        <v>51506</v>
      </c>
      <c r="D99" s="1">
        <f>Country_GDP[[#This Row],[GDP_USD]]/SUM(GDP_USD)</f>
        <v>4.1733146982643075E-4</v>
      </c>
      <c r="E99" t="str">
        <f>IF(Country_GDP[[#This Row],[GDP_USD]]&gt;=1000000,"T1",
 IF(Country_GDP[[#This Row],[GDP_USD]]&gt;=500000,"T2",
 IF(Country_GDP[[#This Row],[GDP_USD]]&gt;=100000,"T3",
 "T4")))</f>
        <v>T4</v>
      </c>
      <c r="F99" s="1">
        <f>Country_GDP[[#This Row],[GDP_USD]]/MAX(GDP_USD)</f>
        <v>1.6186017331225352E-3</v>
      </c>
      <c r="G99" s="1">
        <f>Country_GDP[[#This Row],[GDP_USD]]/SUM(GDP_USD)</f>
        <v>4.1733146982643075E-4</v>
      </c>
    </row>
    <row r="100" spans="1:7" x14ac:dyDescent="0.35">
      <c r="A100">
        <f>_xlfn.RANK.EQ(Country_GDP[[#This Row],[GDP_USD]],Country_GDP[GDP_USD])</f>
        <v>99</v>
      </c>
      <c r="B100" t="s">
        <v>92</v>
      </c>
      <c r="C100">
        <v>51036</v>
      </c>
      <c r="D100" s="1">
        <f>Country_GDP[[#This Row],[GDP_USD]]/SUM(GDP_USD)</f>
        <v>4.1352325736927195E-4</v>
      </c>
      <c r="E100" t="str">
        <f>IF(Country_GDP[[#This Row],[GDP_USD]]&gt;=1000000,"T1",
 IF(Country_GDP[[#This Row],[GDP_USD]]&gt;=500000,"T2",
 IF(Country_GDP[[#This Row],[GDP_USD]]&gt;=100000,"T3",
 "T4")))</f>
        <v>T4</v>
      </c>
      <c r="F100" s="1">
        <f>Country_GDP[[#This Row],[GDP_USD]]/MAX(GDP_USD)</f>
        <v>1.6038317487601776E-3</v>
      </c>
      <c r="G100" s="1">
        <f>Country_GDP[[#This Row],[GDP_USD]]/SUM(GDP_USD)</f>
        <v>4.1352325736927195E-4</v>
      </c>
    </row>
    <row r="101" spans="1:7" x14ac:dyDescent="0.35">
      <c r="A101">
        <f>_xlfn.RANK.EQ(Country_GDP[[#This Row],[GDP_USD]],Country_GDP[GDP_USD])</f>
        <v>100</v>
      </c>
      <c r="B101" t="s">
        <v>93</v>
      </c>
      <c r="C101">
        <v>49194</v>
      </c>
      <c r="D101" s="1">
        <f>Country_GDP[[#This Row],[GDP_USD]]/SUM(GDP_USD)</f>
        <v>3.9859830556908778E-4</v>
      </c>
      <c r="E101" t="str">
        <f>IF(Country_GDP[[#This Row],[GDP_USD]]&gt;=1000000,"T1",
 IF(Country_GDP[[#This Row],[GDP_USD]]&gt;=500000,"T2",
 IF(Country_GDP[[#This Row],[GDP_USD]]&gt;=100000,"T3",
 "T4")))</f>
        <v>T4</v>
      </c>
      <c r="F101" s="1">
        <f>Country_GDP[[#This Row],[GDP_USD]]/MAX(GDP_USD)</f>
        <v>1.5459459802591932E-3</v>
      </c>
      <c r="G101" s="1">
        <f>Country_GDP[[#This Row],[GDP_USD]]/SUM(GDP_USD)</f>
        <v>3.9859830556908778E-4</v>
      </c>
    </row>
    <row r="102" spans="1:7" x14ac:dyDescent="0.35">
      <c r="A102">
        <f>_xlfn.RANK.EQ(Country_GDP[[#This Row],[GDP_USD]],Country_GDP[GDP_USD])</f>
        <v>101</v>
      </c>
      <c r="B102" t="s">
        <v>94</v>
      </c>
      <c r="C102">
        <v>49164</v>
      </c>
      <c r="D102" s="1">
        <f>Country_GDP[[#This Row],[GDP_USD]]/SUM(GDP_USD)</f>
        <v>3.9835522817820531E-4</v>
      </c>
      <c r="E102" t="str">
        <f>IF(Country_GDP[[#This Row],[GDP_USD]]&gt;=1000000,"T1",
 IF(Country_GDP[[#This Row],[GDP_USD]]&gt;=500000,"T2",
 IF(Country_GDP[[#This Row],[GDP_USD]]&gt;=100000,"T3",
 "T4")))</f>
        <v>T4</v>
      </c>
      <c r="F102" s="1">
        <f>Country_GDP[[#This Row],[GDP_USD]]/MAX(GDP_USD)</f>
        <v>1.5450032152998937E-3</v>
      </c>
      <c r="G102" s="1">
        <f>Country_GDP[[#This Row],[GDP_USD]]/SUM(GDP_USD)</f>
        <v>3.9835522817820531E-4</v>
      </c>
    </row>
    <row r="103" spans="1:7" x14ac:dyDescent="0.35">
      <c r="A103">
        <f>_xlfn.RANK.EQ(Country_GDP[[#This Row],[GDP_USD]],Country_GDP[GDP_USD])</f>
        <v>102</v>
      </c>
      <c r="B103" t="s">
        <v>95</v>
      </c>
      <c r="C103">
        <v>49112</v>
      </c>
      <c r="D103" s="1">
        <f>Country_GDP[[#This Row],[GDP_USD]]/SUM(GDP_USD)</f>
        <v>3.9793389403400899E-4</v>
      </c>
      <c r="E103" t="str">
        <f>IF(Country_GDP[[#This Row],[GDP_USD]]&gt;=1000000,"T1",
 IF(Country_GDP[[#This Row],[GDP_USD]]&gt;=500000,"T2",
 IF(Country_GDP[[#This Row],[GDP_USD]]&gt;=100000,"T3",
 "T4")))</f>
        <v>T4</v>
      </c>
      <c r="F103" s="1">
        <f>Country_GDP[[#This Row],[GDP_USD]]/MAX(GDP_USD)</f>
        <v>1.5433690893704413E-3</v>
      </c>
      <c r="G103" s="1">
        <f>Country_GDP[[#This Row],[GDP_USD]]/SUM(GDP_USD)</f>
        <v>3.9793389403400899E-4</v>
      </c>
    </row>
    <row r="104" spans="1:7" x14ac:dyDescent="0.35">
      <c r="A104">
        <f>_xlfn.RANK.EQ(Country_GDP[[#This Row],[GDP_USD]],Country_GDP[GDP_USD])</f>
        <v>103</v>
      </c>
      <c r="B104" t="s">
        <v>96</v>
      </c>
      <c r="C104">
        <v>43404</v>
      </c>
      <c r="D104" s="1">
        <f>Country_GDP[[#This Row],[GDP_USD]]/SUM(GDP_USD)</f>
        <v>3.5168436912876949E-4</v>
      </c>
      <c r="E104" t="str">
        <f>IF(Country_GDP[[#This Row],[GDP_USD]]&gt;=1000000,"T1",
 IF(Country_GDP[[#This Row],[GDP_USD]]&gt;=500000,"T2",
 IF(Country_GDP[[#This Row],[GDP_USD]]&gt;=100000,"T3",
 "T4")))</f>
        <v>T4</v>
      </c>
      <c r="F104" s="1">
        <f>Country_GDP[[#This Row],[GDP_USD]]/MAX(GDP_USD)</f>
        <v>1.3639923431144046E-3</v>
      </c>
      <c r="G104" s="1">
        <f>Country_GDP[[#This Row],[GDP_USD]]/SUM(GDP_USD)</f>
        <v>3.5168436912876949E-4</v>
      </c>
    </row>
    <row r="105" spans="1:7" x14ac:dyDescent="0.35">
      <c r="A105">
        <f>_xlfn.RANK.EQ(Country_GDP[[#This Row],[GDP_USD]],Country_GDP[GDP_USD])</f>
        <v>104</v>
      </c>
      <c r="B105" t="s">
        <v>206</v>
      </c>
      <c r="C105">
        <v>43158</v>
      </c>
      <c r="D105" s="1">
        <f>Country_GDP[[#This Row],[GDP_USD]]/SUM(GDP_USD)</f>
        <v>3.4969113452353316E-4</v>
      </c>
      <c r="E105" t="str">
        <f>IF(Country_GDP[[#This Row],[GDP_USD]]&gt;=1000000,"T1",
 IF(Country_GDP[[#This Row],[GDP_USD]]&gt;=500000,"T2",
 IF(Country_GDP[[#This Row],[GDP_USD]]&gt;=100000,"T3",
 "T4")))</f>
        <v>T4</v>
      </c>
      <c r="F105" s="1">
        <f>Country_GDP[[#This Row],[GDP_USD]]/MAX(GDP_USD)</f>
        <v>1.3562616704481494E-3</v>
      </c>
      <c r="G105" s="1">
        <f>Country_GDP[[#This Row],[GDP_USD]]/SUM(GDP_USD)</f>
        <v>3.4969113452353316E-4</v>
      </c>
    </row>
    <row r="106" spans="1:7" x14ac:dyDescent="0.35">
      <c r="A106">
        <f>_xlfn.RANK.EQ(Country_GDP[[#This Row],[GDP_USD]],Country_GDP[GDP_USD])</f>
        <v>105</v>
      </c>
      <c r="B106" t="s">
        <v>97</v>
      </c>
      <c r="C106">
        <v>40821</v>
      </c>
      <c r="D106" s="1">
        <f>Country_GDP[[#This Row],[GDP_USD]]/SUM(GDP_USD)</f>
        <v>3.3075540577378812E-4</v>
      </c>
      <c r="E106" t="str">
        <f>IF(Country_GDP[[#This Row],[GDP_USD]]&gt;=1000000,"T1",
 IF(Country_GDP[[#This Row],[GDP_USD]]&gt;=500000,"T2",
 IF(Country_GDP[[#This Row],[GDP_USD]]&gt;=100000,"T3",
 "T4")))</f>
        <v>T4</v>
      </c>
      <c r="F106" s="1">
        <f>Country_GDP[[#This Row],[GDP_USD]]/MAX(GDP_USD)</f>
        <v>1.2828202801187243E-3</v>
      </c>
      <c r="G106" s="1">
        <f>Country_GDP[[#This Row],[GDP_USD]]/SUM(GDP_USD)</f>
        <v>3.3075540577378812E-4</v>
      </c>
    </row>
    <row r="107" spans="1:7" x14ac:dyDescent="0.35">
      <c r="A107">
        <f>_xlfn.RANK.EQ(Country_GDP[[#This Row],[GDP_USD]],Country_GDP[GDP_USD])</f>
        <v>106</v>
      </c>
      <c r="B107" t="s">
        <v>207</v>
      </c>
      <c r="C107">
        <v>40177</v>
      </c>
      <c r="D107" s="1">
        <f>Country_GDP[[#This Row],[GDP_USD]]/SUM(GDP_USD)</f>
        <v>3.2553734444951089E-4</v>
      </c>
      <c r="E107" t="str">
        <f>IF(Country_GDP[[#This Row],[GDP_USD]]&gt;=1000000,"T1",
 IF(Country_GDP[[#This Row],[GDP_USD]]&gt;=500000,"T2",
 IF(Country_GDP[[#This Row],[GDP_USD]]&gt;=100000,"T3",
 "T4")))</f>
        <v>T4</v>
      </c>
      <c r="F107" s="1">
        <f>Country_GDP[[#This Row],[GDP_USD]]/MAX(GDP_USD)</f>
        <v>1.2625822589924301E-3</v>
      </c>
      <c r="G107" s="1">
        <f>Country_GDP[[#This Row],[GDP_USD]]/SUM(GDP_USD)</f>
        <v>3.2553734444951089E-4</v>
      </c>
    </row>
    <row r="108" spans="1:7" x14ac:dyDescent="0.35">
      <c r="A108">
        <f>_xlfn.RANK.EQ(Country_GDP[[#This Row],[GDP_USD]],Country_GDP[GDP_USD])</f>
        <v>107</v>
      </c>
      <c r="B108" t="s">
        <v>98</v>
      </c>
      <c r="C108">
        <v>39986</v>
      </c>
      <c r="D108" s="1">
        <f>Country_GDP[[#This Row],[GDP_USD]]/SUM(GDP_USD)</f>
        <v>3.2398975172755911E-4</v>
      </c>
      <c r="E108" t="str">
        <f>IF(Country_GDP[[#This Row],[GDP_USD]]&gt;=1000000,"T1",
 IF(Country_GDP[[#This Row],[GDP_USD]]&gt;=500000,"T2",
 IF(Country_GDP[[#This Row],[GDP_USD]]&gt;=100000,"T3",
 "T4")))</f>
        <v>T4</v>
      </c>
      <c r="F108" s="1">
        <f>Country_GDP[[#This Row],[GDP_USD]]/MAX(GDP_USD)</f>
        <v>1.256579988751557E-3</v>
      </c>
      <c r="G108" s="1">
        <f>Country_GDP[[#This Row],[GDP_USD]]/SUM(GDP_USD)</f>
        <v>3.2398975172755911E-4</v>
      </c>
    </row>
    <row r="109" spans="1:7" x14ac:dyDescent="0.35">
      <c r="A109">
        <f>_xlfn.RANK.EQ(Country_GDP[[#This Row],[GDP_USD]],Country_GDP[GDP_USD])</f>
        <v>108</v>
      </c>
      <c r="B109" t="s">
        <v>99</v>
      </c>
      <c r="C109">
        <v>39474</v>
      </c>
      <c r="D109" s="1">
        <f>Country_GDP[[#This Row],[GDP_USD]]/SUM(GDP_USD)</f>
        <v>3.1984123092316483E-4</v>
      </c>
      <c r="E109" t="str">
        <f>IF(Country_GDP[[#This Row],[GDP_USD]]&gt;=1000000,"T1",
 IF(Country_GDP[[#This Row],[GDP_USD]]&gt;=500000,"T2",
 IF(Country_GDP[[#This Row],[GDP_USD]]&gt;=100000,"T3",
 "T4")))</f>
        <v>T4</v>
      </c>
      <c r="F109" s="1">
        <f>Country_GDP[[#This Row],[GDP_USD]]/MAX(GDP_USD)</f>
        <v>1.2404901334461802E-3</v>
      </c>
      <c r="G109" s="1">
        <f>Country_GDP[[#This Row],[GDP_USD]]/SUM(GDP_USD)</f>
        <v>3.1984123092316483E-4</v>
      </c>
    </row>
    <row r="110" spans="1:7" x14ac:dyDescent="0.35">
      <c r="A110">
        <f>_xlfn.RANK.EQ(Country_GDP[[#This Row],[GDP_USD]],Country_GDP[GDP_USD])</f>
        <v>109</v>
      </c>
      <c r="B110" t="s">
        <v>100</v>
      </c>
      <c r="C110">
        <v>37981</v>
      </c>
      <c r="D110" s="1">
        <f>Country_GDP[[#This Row],[GDP_USD]]/SUM(GDP_USD)</f>
        <v>3.0774407943691347E-4</v>
      </c>
      <c r="E110" t="str">
        <f>IF(Country_GDP[[#This Row],[GDP_USD]]&gt;=1000000,"T1",
 IF(Country_GDP[[#This Row],[GDP_USD]]&gt;=500000,"T2",
 IF(Country_GDP[[#This Row],[GDP_USD]]&gt;=100000,"T3",
 "T4")))</f>
        <v>T4</v>
      </c>
      <c r="F110" s="1">
        <f>Country_GDP[[#This Row],[GDP_USD]]/MAX(GDP_USD)</f>
        <v>1.1935718639717124E-3</v>
      </c>
      <c r="G110" s="1">
        <f>Country_GDP[[#This Row],[GDP_USD]]/SUM(GDP_USD)</f>
        <v>3.0774407943691347E-4</v>
      </c>
    </row>
    <row r="111" spans="1:7" x14ac:dyDescent="0.35">
      <c r="A111">
        <f>_xlfn.RANK.EQ(Country_GDP[[#This Row],[GDP_USD]],Country_GDP[GDP_USD])</f>
        <v>110</v>
      </c>
      <c r="B111" t="s">
        <v>101</v>
      </c>
      <c r="C111">
        <v>36239</v>
      </c>
      <c r="D111" s="1">
        <f>Country_GDP[[#This Row],[GDP_USD]]/SUM(GDP_USD)</f>
        <v>2.9362938560633761E-4</v>
      </c>
      <c r="E111" t="str">
        <f>IF(Country_GDP[[#This Row],[GDP_USD]]&gt;=1000000,"T1",
 IF(Country_GDP[[#This Row],[GDP_USD]]&gt;=500000,"T2",
 IF(Country_GDP[[#This Row],[GDP_USD]]&gt;=100000,"T3",
 "T4")))</f>
        <v>T4</v>
      </c>
      <c r="F111" s="1">
        <f>Country_GDP[[#This Row],[GDP_USD]]/MAX(GDP_USD)</f>
        <v>1.1388286453350592E-3</v>
      </c>
      <c r="G111" s="1">
        <f>Country_GDP[[#This Row],[GDP_USD]]/SUM(GDP_USD)</f>
        <v>2.9362938560633761E-4</v>
      </c>
    </row>
    <row r="112" spans="1:7" x14ac:dyDescent="0.35">
      <c r="A112">
        <f>_xlfn.RANK.EQ(Country_GDP[[#This Row],[GDP_USD]],Country_GDP[GDP_USD])</f>
        <v>111</v>
      </c>
      <c r="B112" t="s">
        <v>102</v>
      </c>
      <c r="C112">
        <v>33945</v>
      </c>
      <c r="D112" s="1">
        <f>Country_GDP[[#This Row],[GDP_USD]]/SUM(GDP_USD)</f>
        <v>2.750420677835241E-4</v>
      </c>
      <c r="E112" t="str">
        <f>IF(Country_GDP[[#This Row],[GDP_USD]]&gt;=1000000,"T1",
 IF(Country_GDP[[#This Row],[GDP_USD]]&gt;=500000,"T2",
 IF(Country_GDP[[#This Row],[GDP_USD]]&gt;=100000,"T3",
 "T4")))</f>
        <v>T4</v>
      </c>
      <c r="F112" s="1">
        <f>Country_GDP[[#This Row],[GDP_USD]]/MAX(GDP_USD)</f>
        <v>1.0667385514472967E-3</v>
      </c>
      <c r="G112" s="1">
        <f>Country_GDP[[#This Row],[GDP_USD]]/SUM(GDP_USD)</f>
        <v>2.750420677835241E-4</v>
      </c>
    </row>
    <row r="113" spans="1:7" x14ac:dyDescent="0.35">
      <c r="A113">
        <f>_xlfn.RANK.EQ(Country_GDP[[#This Row],[GDP_USD]],Country_GDP[GDP_USD])</f>
        <v>112</v>
      </c>
      <c r="B113" t="s">
        <v>103</v>
      </c>
      <c r="C113">
        <v>33463</v>
      </c>
      <c r="D113" s="1">
        <f>Country_GDP[[#This Row],[GDP_USD]]/SUM(GDP_USD)</f>
        <v>2.7113662437001229E-4</v>
      </c>
      <c r="E113" t="str">
        <f>IF(Country_GDP[[#This Row],[GDP_USD]]&gt;=1000000,"T1",
 IF(Country_GDP[[#This Row],[GDP_USD]]&gt;=500000,"T2",
 IF(Country_GDP[[#This Row],[GDP_USD]]&gt;=100000,"T3",
 "T4")))</f>
        <v>T4</v>
      </c>
      <c r="F113" s="1">
        <f>Country_GDP[[#This Row],[GDP_USD]]/MAX(GDP_USD)</f>
        <v>1.0515914611012192E-3</v>
      </c>
      <c r="G113" s="1">
        <f>Country_GDP[[#This Row],[GDP_USD]]/SUM(GDP_USD)</f>
        <v>2.7113662437001229E-4</v>
      </c>
    </row>
    <row r="114" spans="1:7" x14ac:dyDescent="0.35">
      <c r="A114">
        <f>_xlfn.RANK.EQ(Country_GDP[[#This Row],[GDP_USD]],Country_GDP[GDP_USD])</f>
        <v>113</v>
      </c>
      <c r="B114" t="s">
        <v>104</v>
      </c>
      <c r="C114">
        <v>32411</v>
      </c>
      <c r="D114" s="1">
        <f>Country_GDP[[#This Row],[GDP_USD]]/SUM(GDP_USD)</f>
        <v>2.6261271052973337E-4</v>
      </c>
      <c r="E114" t="str">
        <f>IF(Country_GDP[[#This Row],[GDP_USD]]&gt;=1000000,"T1",
 IF(Country_GDP[[#This Row],[GDP_USD]]&gt;=500000,"T2",
 IF(Country_GDP[[#This Row],[GDP_USD]]&gt;=100000,"T3",
 "T4")))</f>
        <v>T4</v>
      </c>
      <c r="F114" s="1">
        <f>Country_GDP[[#This Row],[GDP_USD]]/MAX(GDP_USD)</f>
        <v>1.0185318365284529E-3</v>
      </c>
      <c r="G114" s="1">
        <f>Country_GDP[[#This Row],[GDP_USD]]/SUM(GDP_USD)</f>
        <v>2.6261271052973337E-4</v>
      </c>
    </row>
    <row r="115" spans="1:7" x14ac:dyDescent="0.35">
      <c r="A115">
        <f>_xlfn.RANK.EQ(Country_GDP[[#This Row],[GDP_USD]],Country_GDP[GDP_USD])</f>
        <v>114</v>
      </c>
      <c r="B115" t="s">
        <v>105</v>
      </c>
      <c r="C115">
        <v>31097</v>
      </c>
      <c r="D115" s="1">
        <f>Country_GDP[[#This Row],[GDP_USD]]/SUM(GDP_USD)</f>
        <v>2.5196592080908083E-4</v>
      </c>
      <c r="E115" t="str">
        <f>IF(Country_GDP[[#This Row],[GDP_USD]]&gt;=1000000,"T1",
 IF(Country_GDP[[#This Row],[GDP_USD]]&gt;=500000,"T2",
 IF(Country_GDP[[#This Row],[GDP_USD]]&gt;=100000,"T3",
 "T4")))</f>
        <v>T4</v>
      </c>
      <c r="F115" s="1">
        <f>Country_GDP[[#This Row],[GDP_USD]]/MAX(GDP_USD)</f>
        <v>9.7723873131113801E-4</v>
      </c>
      <c r="G115" s="1">
        <f>Country_GDP[[#This Row],[GDP_USD]]/SUM(GDP_USD)</f>
        <v>2.5196592080908083E-4</v>
      </c>
    </row>
    <row r="116" spans="1:7" x14ac:dyDescent="0.35">
      <c r="A116">
        <f>_xlfn.RANK.EQ(Country_GDP[[#This Row],[GDP_USD]],Country_GDP[GDP_USD])</f>
        <v>115</v>
      </c>
      <c r="B116" t="s">
        <v>106</v>
      </c>
      <c r="C116">
        <v>30922</v>
      </c>
      <c r="D116" s="1">
        <f>Country_GDP[[#This Row],[GDP_USD]]/SUM(GDP_USD)</f>
        <v>2.5054796936226634E-4</v>
      </c>
      <c r="E116" t="str">
        <f>IF(Country_GDP[[#This Row],[GDP_USD]]&gt;=1000000,"T1",
 IF(Country_GDP[[#This Row],[GDP_USD]]&gt;=500000,"T2",
 IF(Country_GDP[[#This Row],[GDP_USD]]&gt;=100000,"T3",
 "T4")))</f>
        <v>T4</v>
      </c>
      <c r="F116" s="1">
        <f>Country_GDP[[#This Row],[GDP_USD]]/MAX(GDP_USD)</f>
        <v>9.7173926904855817E-4</v>
      </c>
      <c r="G116" s="1">
        <f>Country_GDP[[#This Row],[GDP_USD]]/SUM(GDP_USD)</f>
        <v>2.5054796936226634E-4</v>
      </c>
    </row>
    <row r="117" spans="1:7" x14ac:dyDescent="0.35">
      <c r="A117">
        <f>_xlfn.RANK.EQ(Country_GDP[[#This Row],[GDP_USD]],Country_GDP[GDP_USD])</f>
        <v>116</v>
      </c>
      <c r="B117" t="s">
        <v>107</v>
      </c>
      <c r="C117">
        <v>30705</v>
      </c>
      <c r="D117" s="1">
        <f>Country_GDP[[#This Row],[GDP_USD]]/SUM(GDP_USD)</f>
        <v>2.4878970956821643E-4</v>
      </c>
      <c r="E117" t="str">
        <f>IF(Country_GDP[[#This Row],[GDP_USD]]&gt;=1000000,"T1",
 IF(Country_GDP[[#This Row],[GDP_USD]]&gt;=500000,"T2",
 IF(Country_GDP[[#This Row],[GDP_USD]]&gt;=100000,"T3",
 "T4")))</f>
        <v>T4</v>
      </c>
      <c r="F117" s="1">
        <f>Country_GDP[[#This Row],[GDP_USD]]/MAX(GDP_USD)</f>
        <v>9.6491993584295896E-4</v>
      </c>
      <c r="G117" s="1">
        <f>Country_GDP[[#This Row],[GDP_USD]]/SUM(GDP_USD)</f>
        <v>2.4878970956821643E-4</v>
      </c>
    </row>
    <row r="118" spans="1:7" x14ac:dyDescent="0.35">
      <c r="A118">
        <f>_xlfn.RANK.EQ(Country_GDP[[#This Row],[GDP_USD]],Country_GDP[GDP_USD])</f>
        <v>117</v>
      </c>
      <c r="B118" t="s">
        <v>108</v>
      </c>
      <c r="C118">
        <v>30437</v>
      </c>
      <c r="D118" s="1">
        <f>Country_GDP[[#This Row],[GDP_USD]]/SUM(GDP_USD)</f>
        <v>2.4661821820966631E-4</v>
      </c>
      <c r="E118" t="str">
        <f>IF(Country_GDP[[#This Row],[GDP_USD]]&gt;=1000000,"T1",
 IF(Country_GDP[[#This Row],[GDP_USD]]&gt;=500000,"T2",
 IF(Country_GDP[[#This Row],[GDP_USD]]&gt;=100000,"T3",
 "T4")))</f>
        <v>T4</v>
      </c>
      <c r="F118" s="1">
        <f>Country_GDP[[#This Row],[GDP_USD]]/MAX(GDP_USD)</f>
        <v>9.5649790220655084E-4</v>
      </c>
      <c r="G118" s="1">
        <f>Country_GDP[[#This Row],[GDP_USD]]/SUM(GDP_USD)</f>
        <v>2.4661821820966631E-4</v>
      </c>
    </row>
    <row r="119" spans="1:7" x14ac:dyDescent="0.35">
      <c r="A119">
        <f>_xlfn.RANK.EQ(Country_GDP[[#This Row],[GDP_USD]],Country_GDP[GDP_USD])</f>
        <v>118</v>
      </c>
      <c r="B119" t="s">
        <v>109</v>
      </c>
      <c r="C119">
        <v>29082</v>
      </c>
      <c r="D119" s="1">
        <f>Country_GDP[[#This Row],[GDP_USD]]/SUM(GDP_USD)</f>
        <v>2.3563922272147437E-4</v>
      </c>
      <c r="E119" t="str">
        <f>IF(Country_GDP[[#This Row],[GDP_USD]]&gt;=1000000,"T1",
 IF(Country_GDP[[#This Row],[GDP_USD]]&gt;=500000,"T2",
 IF(Country_GDP[[#This Row],[GDP_USD]]&gt;=100000,"T3",
 "T4")))</f>
        <v>T4</v>
      </c>
      <c r="F119" s="1">
        <f>Country_GDP[[#This Row],[GDP_USD]]/MAX(GDP_USD)</f>
        <v>9.1391635154486025E-4</v>
      </c>
      <c r="G119" s="1">
        <f>Country_GDP[[#This Row],[GDP_USD]]/SUM(GDP_USD)</f>
        <v>2.3563922272147437E-4</v>
      </c>
    </row>
    <row r="120" spans="1:7" x14ac:dyDescent="0.35">
      <c r="A120">
        <f>_xlfn.RANK.EQ(Country_GDP[[#This Row],[GDP_USD]],Country_GDP[GDP_USD])</f>
        <v>119</v>
      </c>
      <c r="B120" t="s">
        <v>110</v>
      </c>
      <c r="C120">
        <v>28478</v>
      </c>
      <c r="D120" s="1">
        <f>Country_GDP[[#This Row],[GDP_USD]]/SUM(GDP_USD)</f>
        <v>2.3074526458504048E-4</v>
      </c>
      <c r="E120" t="str">
        <f>IF(Country_GDP[[#This Row],[GDP_USD]]&gt;=1000000,"T1",
 IF(Country_GDP[[#This Row],[GDP_USD]]&gt;=500000,"T2",
 IF(Country_GDP[[#This Row],[GDP_USD]]&gt;=100000,"T3",
 "T4")))</f>
        <v>T4</v>
      </c>
      <c r="F120" s="1">
        <f>Country_GDP[[#This Row],[GDP_USD]]/MAX(GDP_USD)</f>
        <v>8.9493535036429847E-4</v>
      </c>
      <c r="G120" s="1">
        <f>Country_GDP[[#This Row],[GDP_USD]]/SUM(GDP_USD)</f>
        <v>2.3074526458504048E-4</v>
      </c>
    </row>
    <row r="121" spans="1:7" x14ac:dyDescent="0.35">
      <c r="A121">
        <f>_xlfn.RANK.EQ(Country_GDP[[#This Row],[GDP_USD]],Country_GDP[GDP_USD])</f>
        <v>120</v>
      </c>
      <c r="B121" t="s">
        <v>111</v>
      </c>
      <c r="C121">
        <v>27486</v>
      </c>
      <c r="D121" s="1">
        <f>Country_GDP[[#This Row],[GDP_USD]]/SUM(GDP_USD)</f>
        <v>2.2270750552652653E-4</v>
      </c>
      <c r="E121" t="str">
        <f>IF(Country_GDP[[#This Row],[GDP_USD]]&gt;=1000000,"T1",
 IF(Country_GDP[[#This Row],[GDP_USD]]&gt;=500000,"T2",
 IF(Country_GDP[[#This Row],[GDP_USD]]&gt;=100000,"T3",
 "T4")))</f>
        <v>T4</v>
      </c>
      <c r="F121" s="1">
        <f>Country_GDP[[#This Row],[GDP_USD]]/MAX(GDP_USD)</f>
        <v>8.6376125571013091E-4</v>
      </c>
      <c r="G121" s="1">
        <f>Country_GDP[[#This Row],[GDP_USD]]/SUM(GDP_USD)</f>
        <v>2.2270750552652653E-4</v>
      </c>
    </row>
    <row r="122" spans="1:7" x14ac:dyDescent="0.35">
      <c r="A122">
        <f>_xlfn.RANK.EQ(Country_GDP[[#This Row],[GDP_USD]],Country_GDP[GDP_USD])</f>
        <v>121</v>
      </c>
      <c r="B122" t="s">
        <v>112</v>
      </c>
      <c r="C122">
        <v>27453</v>
      </c>
      <c r="D122" s="1">
        <f>Country_GDP[[#This Row],[GDP_USD]]/SUM(GDP_USD)</f>
        <v>2.2244012039655581E-4</v>
      </c>
      <c r="E122" t="str">
        <f>IF(Country_GDP[[#This Row],[GDP_USD]]&gt;=1000000,"T1",
 IF(Country_GDP[[#This Row],[GDP_USD]]&gt;=500000,"T2",
 IF(Country_GDP[[#This Row],[GDP_USD]]&gt;=100000,"T3",
 "T4")))</f>
        <v>T4</v>
      </c>
      <c r="F122" s="1">
        <f>Country_GDP[[#This Row],[GDP_USD]]/MAX(GDP_USD)</f>
        <v>8.6272421425490162E-4</v>
      </c>
      <c r="G122" s="1">
        <f>Country_GDP[[#This Row],[GDP_USD]]/SUM(GDP_USD)</f>
        <v>2.2244012039655581E-4</v>
      </c>
    </row>
    <row r="123" spans="1:7" x14ac:dyDescent="0.35">
      <c r="A123">
        <f>_xlfn.RANK.EQ(Country_GDP[[#This Row],[GDP_USD]],Country_GDP[GDP_USD])</f>
        <v>122</v>
      </c>
      <c r="B123" t="s">
        <v>113</v>
      </c>
      <c r="C123">
        <v>26758</v>
      </c>
      <c r="D123" s="1">
        <f>Country_GDP[[#This Row],[GDP_USD]]/SUM(GDP_USD)</f>
        <v>2.1680882750777839E-4</v>
      </c>
      <c r="E123" t="str">
        <f>IF(Country_GDP[[#This Row],[GDP_USD]]&gt;=1000000,"T1",
 IF(Country_GDP[[#This Row],[GDP_USD]]&gt;=500000,"T2",
 IF(Country_GDP[[#This Row],[GDP_USD]]&gt;=100000,"T3",
 "T4")))</f>
        <v>T4</v>
      </c>
      <c r="F123" s="1">
        <f>Country_GDP[[#This Row],[GDP_USD]]/MAX(GDP_USD)</f>
        <v>8.4088349269779831E-4</v>
      </c>
      <c r="G123" s="1">
        <f>Country_GDP[[#This Row],[GDP_USD]]/SUM(GDP_USD)</f>
        <v>2.1680882750777839E-4</v>
      </c>
    </row>
    <row r="124" spans="1:7" x14ac:dyDescent="0.35">
      <c r="A124">
        <f>_xlfn.RANK.EQ(Country_GDP[[#This Row],[GDP_USD]],Country_GDP[GDP_USD])</f>
        <v>123</v>
      </c>
      <c r="B124" t="s">
        <v>114</v>
      </c>
      <c r="C124">
        <v>26520</v>
      </c>
      <c r="D124" s="1">
        <f>Country_GDP[[#This Row],[GDP_USD]]/SUM(GDP_USD)</f>
        <v>2.1488041354011074E-4</v>
      </c>
      <c r="E124" t="str">
        <f>IF(Country_GDP[[#This Row],[GDP_USD]]&gt;=1000000,"T1",
 IF(Country_GDP[[#This Row],[GDP_USD]]&gt;=500000,"T2",
 IF(Country_GDP[[#This Row],[GDP_USD]]&gt;=100000,"T3",
 "T4")))</f>
        <v>T4</v>
      </c>
      <c r="F124" s="1">
        <f>Country_GDP[[#This Row],[GDP_USD]]/MAX(GDP_USD)</f>
        <v>8.3340422402068952E-4</v>
      </c>
      <c r="G124" s="1">
        <f>Country_GDP[[#This Row],[GDP_USD]]/SUM(GDP_USD)</f>
        <v>2.1488041354011074E-4</v>
      </c>
    </row>
    <row r="125" spans="1:7" x14ac:dyDescent="0.35">
      <c r="A125">
        <f>_xlfn.RANK.EQ(Country_GDP[[#This Row],[GDP_USD]],Country_GDP[GDP_USD])</f>
        <v>124</v>
      </c>
      <c r="B125" t="s">
        <v>115</v>
      </c>
      <c r="C125">
        <v>26512</v>
      </c>
      <c r="D125" s="1">
        <f>Country_GDP[[#This Row],[GDP_USD]]/SUM(GDP_USD)</f>
        <v>2.1481559290254207E-4</v>
      </c>
      <c r="E125" t="str">
        <f>IF(Country_GDP[[#This Row],[GDP_USD]]&gt;=1000000,"T1",
 IF(Country_GDP[[#This Row],[GDP_USD]]&gt;=500000,"T2",
 IF(Country_GDP[[#This Row],[GDP_USD]]&gt;=100000,"T3",
 "T4")))</f>
        <v>T4</v>
      </c>
      <c r="F125" s="1">
        <f>Country_GDP[[#This Row],[GDP_USD]]/MAX(GDP_USD)</f>
        <v>8.3315282003154298E-4</v>
      </c>
      <c r="G125" s="1">
        <f>Country_GDP[[#This Row],[GDP_USD]]/SUM(GDP_USD)</f>
        <v>2.1481559290254207E-4</v>
      </c>
    </row>
    <row r="126" spans="1:7" x14ac:dyDescent="0.35">
      <c r="A126">
        <f>_xlfn.RANK.EQ(Country_GDP[[#This Row],[GDP_USD]],Country_GDP[GDP_USD])</f>
        <v>125</v>
      </c>
      <c r="B126" t="s">
        <v>116</v>
      </c>
      <c r="C126">
        <v>26110</v>
      </c>
      <c r="D126" s="1">
        <f>Country_GDP[[#This Row],[GDP_USD]]/SUM(GDP_USD)</f>
        <v>2.1155835586471685E-4</v>
      </c>
      <c r="E126" t="str">
        <f>IF(Country_GDP[[#This Row],[GDP_USD]]&gt;=1000000,"T1",
 IF(Country_GDP[[#This Row],[GDP_USD]]&gt;=500000,"T2",
 IF(Country_GDP[[#This Row],[GDP_USD]]&gt;=100000,"T3",
 "T4")))</f>
        <v>T4</v>
      </c>
      <c r="F126" s="1">
        <f>Country_GDP[[#This Row],[GDP_USD]]/MAX(GDP_USD)</f>
        <v>8.2051976957693074E-4</v>
      </c>
      <c r="G126" s="1">
        <f>Country_GDP[[#This Row],[GDP_USD]]/SUM(GDP_USD)</f>
        <v>2.1155835586471685E-4</v>
      </c>
    </row>
    <row r="127" spans="1:7" x14ac:dyDescent="0.35">
      <c r="A127">
        <f>_xlfn.RANK.EQ(Country_GDP[[#This Row],[GDP_USD]],Country_GDP[GDP_USD])</f>
        <v>126</v>
      </c>
      <c r="B127" t="s">
        <v>117</v>
      </c>
      <c r="C127">
        <v>24132</v>
      </c>
      <c r="D127" s="1">
        <f>Country_GDP[[#This Row],[GDP_USD]]/SUM(GDP_USD)</f>
        <v>1.9553145322586546E-4</v>
      </c>
      <c r="E127" t="str">
        <f>IF(Country_GDP[[#This Row],[GDP_USD]]&gt;=1000000,"T1",
 IF(Country_GDP[[#This Row],[GDP_USD]]&gt;=500000,"T2",
 IF(Country_GDP[[#This Row],[GDP_USD]]&gt;=100000,"T3",
 "T4")))</f>
        <v>T4</v>
      </c>
      <c r="F127" s="1">
        <f>Country_GDP[[#This Row],[GDP_USD]]/MAX(GDP_USD)</f>
        <v>7.5836013326045554E-4</v>
      </c>
      <c r="G127" s="1">
        <f>Country_GDP[[#This Row],[GDP_USD]]/SUM(GDP_USD)</f>
        <v>1.9553145322586546E-4</v>
      </c>
    </row>
    <row r="128" spans="1:7" x14ac:dyDescent="0.35">
      <c r="A128">
        <f>_xlfn.RANK.EQ(Country_GDP[[#This Row],[GDP_USD]],Country_GDP[GDP_USD])</f>
        <v>127</v>
      </c>
      <c r="B128" t="s">
        <v>118</v>
      </c>
      <c r="C128">
        <v>23556</v>
      </c>
      <c r="D128" s="1">
        <f>Country_GDP[[#This Row],[GDP_USD]]/SUM(GDP_USD)</f>
        <v>1.908643673209219E-4</v>
      </c>
      <c r="E128" t="str">
        <f>IF(Country_GDP[[#This Row],[GDP_USD]]&gt;=1000000,"T1",
 IF(Country_GDP[[#This Row],[GDP_USD]]&gt;=500000,"T2",
 IF(Country_GDP[[#This Row],[GDP_USD]]&gt;=100000,"T3",
 "T4")))</f>
        <v>T4</v>
      </c>
      <c r="F128" s="1">
        <f>Country_GDP[[#This Row],[GDP_USD]]/MAX(GDP_USD)</f>
        <v>7.4025904604190656E-4</v>
      </c>
      <c r="G128" s="1">
        <f>Country_GDP[[#This Row],[GDP_USD]]/SUM(GDP_USD)</f>
        <v>1.908643673209219E-4</v>
      </c>
    </row>
    <row r="129" spans="1:7" x14ac:dyDescent="0.35">
      <c r="A129">
        <f>_xlfn.RANK.EQ(Country_GDP[[#This Row],[GDP_USD]],Country_GDP[GDP_USD])</f>
        <v>128</v>
      </c>
      <c r="B129" t="s">
        <v>119</v>
      </c>
      <c r="C129">
        <v>22726</v>
      </c>
      <c r="D129" s="1">
        <f>Country_GDP[[#This Row],[GDP_USD]]/SUM(GDP_USD)</f>
        <v>1.8413922617317334E-4</v>
      </c>
      <c r="E129" t="str">
        <f>IF(Country_GDP[[#This Row],[GDP_USD]]&gt;=1000000,"T1",
 IF(Country_GDP[[#This Row],[GDP_USD]]&gt;=500000,"T2",
 IF(Country_GDP[[#This Row],[GDP_USD]]&gt;=100000,"T3",
 "T4")))</f>
        <v>T4</v>
      </c>
      <c r="F129" s="1">
        <f>Country_GDP[[#This Row],[GDP_USD]]/MAX(GDP_USD)</f>
        <v>7.1417588216795592E-4</v>
      </c>
      <c r="G129" s="1">
        <f>Country_GDP[[#This Row],[GDP_USD]]/SUM(GDP_USD)</f>
        <v>1.8413922617317334E-4</v>
      </c>
    </row>
    <row r="130" spans="1:7" x14ac:dyDescent="0.35">
      <c r="A130">
        <f>_xlfn.RANK.EQ(Country_GDP[[#This Row],[GDP_USD]],Country_GDP[GDP_USD])</f>
        <v>129</v>
      </c>
      <c r="B130" t="s">
        <v>120</v>
      </c>
      <c r="C130">
        <v>21860</v>
      </c>
      <c r="D130" s="1">
        <f>Country_GDP[[#This Row],[GDP_USD]]/SUM(GDP_USD)</f>
        <v>1.7712239215636577E-4</v>
      </c>
      <c r="E130" t="str">
        <f>IF(Country_GDP[[#This Row],[GDP_USD]]&gt;=1000000,"T1",
 IF(Country_GDP[[#This Row],[GDP_USD]]&gt;=500000,"T2",
 IF(Country_GDP[[#This Row],[GDP_USD]]&gt;=100000,"T3",
 "T4")))</f>
        <v>T4</v>
      </c>
      <c r="F130" s="1">
        <f>Country_GDP[[#This Row],[GDP_USD]]/MAX(GDP_USD)</f>
        <v>6.8696140034284594E-4</v>
      </c>
      <c r="G130" s="1">
        <f>Country_GDP[[#This Row],[GDP_USD]]/SUM(GDP_USD)</f>
        <v>1.7712239215636577E-4</v>
      </c>
    </row>
    <row r="131" spans="1:7" x14ac:dyDescent="0.35">
      <c r="A131">
        <f>_xlfn.RANK.EQ(Country_GDP[[#This Row],[GDP_USD]],Country_GDP[GDP_USD])</f>
        <v>130</v>
      </c>
      <c r="B131" t="s">
        <v>121</v>
      </c>
      <c r="C131">
        <v>21563</v>
      </c>
      <c r="D131" s="1">
        <f>Country_GDP[[#This Row],[GDP_USD]]/SUM(GDP_USD)</f>
        <v>1.7471592598662926E-4</v>
      </c>
      <c r="E131" t="str">
        <f>IF(Country_GDP[[#This Row],[GDP_USD]]&gt;=1000000,"T1",
 IF(Country_GDP[[#This Row],[GDP_USD]]&gt;=500000,"T2",
 IF(Country_GDP[[#This Row],[GDP_USD]]&gt;=100000,"T3",
 "T4")))</f>
        <v>T4</v>
      </c>
      <c r="F131" s="1">
        <f>Country_GDP[[#This Row],[GDP_USD]]/MAX(GDP_USD)</f>
        <v>6.7762802724578158E-4</v>
      </c>
      <c r="G131" s="1">
        <f>Country_GDP[[#This Row],[GDP_USD]]/SUM(GDP_USD)</f>
        <v>1.7471592598662926E-4</v>
      </c>
    </row>
    <row r="132" spans="1:7" x14ac:dyDescent="0.35">
      <c r="A132">
        <f>_xlfn.RANK.EQ(Country_GDP[[#This Row],[GDP_USD]],Country_GDP[GDP_USD])</f>
        <v>131</v>
      </c>
      <c r="B132" t="s">
        <v>122</v>
      </c>
      <c r="C132">
        <v>21091</v>
      </c>
      <c r="D132" s="1">
        <f>Country_GDP[[#This Row],[GDP_USD]]/SUM(GDP_USD)</f>
        <v>1.7089150837007827E-4</v>
      </c>
      <c r="E132" t="str">
        <f>IF(Country_GDP[[#This Row],[GDP_USD]]&gt;=1000000,"T1",
 IF(Country_GDP[[#This Row],[GDP_USD]]&gt;=500000,"T2",
 IF(Country_GDP[[#This Row],[GDP_USD]]&gt;=100000,"T3",
 "T4")))</f>
        <v>T4</v>
      </c>
      <c r="F132" s="1">
        <f>Country_GDP[[#This Row],[GDP_USD]]/MAX(GDP_USD)</f>
        <v>6.6279519188613739E-4</v>
      </c>
      <c r="G132" s="1">
        <f>Country_GDP[[#This Row],[GDP_USD]]/SUM(GDP_USD)</f>
        <v>1.7089150837007827E-4</v>
      </c>
    </row>
    <row r="133" spans="1:7" x14ac:dyDescent="0.35">
      <c r="A133">
        <f>_xlfn.RANK.EQ(Country_GDP[[#This Row],[GDP_USD]],Country_GDP[GDP_USD])</f>
        <v>132</v>
      </c>
      <c r="B133" t="s">
        <v>208</v>
      </c>
      <c r="C133">
        <v>21024</v>
      </c>
      <c r="D133" s="1">
        <f>Country_GDP[[#This Row],[GDP_USD]]/SUM(GDP_USD)</f>
        <v>1.7034863553044074E-4</v>
      </c>
      <c r="E133" t="str">
        <f>IF(Country_GDP[[#This Row],[GDP_USD]]&gt;=1000000,"T1",
 IF(Country_GDP[[#This Row],[GDP_USD]]&gt;=500000,"T2",
 IF(Country_GDP[[#This Row],[GDP_USD]]&gt;=100000,"T3",
 "T4")))</f>
        <v>T4</v>
      </c>
      <c r="F133" s="1">
        <f>Country_GDP[[#This Row],[GDP_USD]]/MAX(GDP_USD)</f>
        <v>6.6068968347703528E-4</v>
      </c>
      <c r="G133" s="1">
        <f>Country_GDP[[#This Row],[GDP_USD]]/SUM(GDP_USD)</f>
        <v>1.7034863553044074E-4</v>
      </c>
    </row>
    <row r="134" spans="1:7" x14ac:dyDescent="0.35">
      <c r="A134">
        <f>_xlfn.RANK.EQ(Country_GDP[[#This Row],[GDP_USD]],Country_GDP[GDP_USD])</f>
        <v>133</v>
      </c>
      <c r="B134" t="s">
        <v>123</v>
      </c>
      <c r="C134">
        <v>20751</v>
      </c>
      <c r="D134" s="1">
        <f>Country_GDP[[#This Row],[GDP_USD]]/SUM(GDP_USD)</f>
        <v>1.6813663127341016E-4</v>
      </c>
      <c r="E134" t="str">
        <f>IF(Country_GDP[[#This Row],[GDP_USD]]&gt;=1000000,"T1",
 IF(Country_GDP[[#This Row],[GDP_USD]]&gt;=500000,"T2",
 IF(Country_GDP[[#This Row],[GDP_USD]]&gt;=100000,"T3",
 "T4")))</f>
        <v>T4</v>
      </c>
      <c r="F134" s="1">
        <f>Country_GDP[[#This Row],[GDP_USD]]/MAX(GDP_USD)</f>
        <v>6.5211052234741057E-4</v>
      </c>
      <c r="G134" s="1">
        <f>Country_GDP[[#This Row],[GDP_USD]]/SUM(GDP_USD)</f>
        <v>1.6813663127341016E-4</v>
      </c>
    </row>
    <row r="135" spans="1:7" x14ac:dyDescent="0.35">
      <c r="A135">
        <f>_xlfn.RANK.EQ(Country_GDP[[#This Row],[GDP_USD]],Country_GDP[GDP_USD])</f>
        <v>134</v>
      </c>
      <c r="B135" t="s">
        <v>124</v>
      </c>
      <c r="C135">
        <v>20708</v>
      </c>
      <c r="D135" s="1">
        <f>Country_GDP[[#This Row],[GDP_USD]]/SUM(GDP_USD)</f>
        <v>1.6778822034647863E-4</v>
      </c>
      <c r="E135" t="str">
        <f>IF(Country_GDP[[#This Row],[GDP_USD]]&gt;=1000000,"T1",
 IF(Country_GDP[[#This Row],[GDP_USD]]&gt;=500000,"T2",
 IF(Country_GDP[[#This Row],[GDP_USD]]&gt;=100000,"T3",
 "T4")))</f>
        <v>T4</v>
      </c>
      <c r="F135" s="1">
        <f>Country_GDP[[#This Row],[GDP_USD]]/MAX(GDP_USD)</f>
        <v>6.507592259057481E-4</v>
      </c>
      <c r="G135" s="1">
        <f>Country_GDP[[#This Row],[GDP_USD]]/SUM(GDP_USD)</f>
        <v>1.6778822034647863E-4</v>
      </c>
    </row>
    <row r="136" spans="1:7" x14ac:dyDescent="0.35">
      <c r="A136">
        <f>_xlfn.RANK.EQ(Country_GDP[[#This Row],[GDP_USD]],Country_GDP[GDP_USD])</f>
        <v>135</v>
      </c>
      <c r="B136" t="s">
        <v>125</v>
      </c>
      <c r="C136">
        <v>18941</v>
      </c>
      <c r="D136" s="1">
        <f>Country_GDP[[#This Row],[GDP_USD]]/SUM(GDP_USD)</f>
        <v>1.5347096202350066E-4</v>
      </c>
      <c r="E136" t="str">
        <f>IF(Country_GDP[[#This Row],[GDP_USD]]&gt;=1000000,"T1",
 IF(Country_GDP[[#This Row],[GDP_USD]]&gt;=500000,"T2",
 IF(Country_GDP[[#This Row],[GDP_USD]]&gt;=100000,"T3",
 "T4")))</f>
        <v>T4</v>
      </c>
      <c r="F136" s="1">
        <f>Country_GDP[[#This Row],[GDP_USD]]/MAX(GDP_USD)</f>
        <v>5.9523036980301208E-4</v>
      </c>
      <c r="G136" s="1">
        <f>Country_GDP[[#This Row],[GDP_USD]]/SUM(GDP_USD)</f>
        <v>1.5347096202350066E-4</v>
      </c>
    </row>
    <row r="137" spans="1:7" x14ac:dyDescent="0.35">
      <c r="A137">
        <f>_xlfn.RANK.EQ(Country_GDP[[#This Row],[GDP_USD]],Country_GDP[GDP_USD])</f>
        <v>136</v>
      </c>
      <c r="B137" t="s">
        <v>126</v>
      </c>
      <c r="C137">
        <v>17855</v>
      </c>
      <c r="D137" s="1">
        <f>Country_GDP[[#This Row],[GDP_USD]]/SUM(GDP_USD)</f>
        <v>1.4467156047355493E-4</v>
      </c>
      <c r="E137" t="str">
        <f>IF(Country_GDP[[#This Row],[GDP_USD]]&gt;=1000000,"T1",
 IF(Country_GDP[[#This Row],[GDP_USD]]&gt;=500000,"T2",
 IF(Country_GDP[[#This Row],[GDP_USD]]&gt;=100000,"T3",
 "T4")))</f>
        <v>T4</v>
      </c>
      <c r="F137" s="1">
        <f>Country_GDP[[#This Row],[GDP_USD]]/MAX(GDP_USD)</f>
        <v>5.6110227827637304E-4</v>
      </c>
      <c r="G137" s="1">
        <f>Country_GDP[[#This Row],[GDP_USD]]/SUM(GDP_USD)</f>
        <v>1.4467156047355493E-4</v>
      </c>
    </row>
    <row r="138" spans="1:7" x14ac:dyDescent="0.35">
      <c r="A138">
        <f>_xlfn.RANK.EQ(Country_GDP[[#This Row],[GDP_USD]],Country_GDP[GDP_USD])</f>
        <v>137</v>
      </c>
      <c r="B138" t="s">
        <v>127</v>
      </c>
      <c r="C138">
        <v>17781</v>
      </c>
      <c r="D138" s="1">
        <f>Country_GDP[[#This Row],[GDP_USD]]/SUM(GDP_USD)</f>
        <v>1.4407196957604484E-4</v>
      </c>
      <c r="E138" t="str">
        <f>IF(Country_GDP[[#This Row],[GDP_USD]]&gt;=1000000,"T1",
 IF(Country_GDP[[#This Row],[GDP_USD]]&gt;=500000,"T2",
 IF(Country_GDP[[#This Row],[GDP_USD]]&gt;=100000,"T3",
 "T4")))</f>
        <v>T4</v>
      </c>
      <c r="F138" s="1">
        <f>Country_GDP[[#This Row],[GDP_USD]]/MAX(GDP_USD)</f>
        <v>5.587767913767677E-4</v>
      </c>
      <c r="G138" s="1">
        <f>Country_GDP[[#This Row],[GDP_USD]]/SUM(GDP_USD)</f>
        <v>1.4407196957604484E-4</v>
      </c>
    </row>
    <row r="139" spans="1:7" x14ac:dyDescent="0.35">
      <c r="A139">
        <f>_xlfn.RANK.EQ(Country_GDP[[#This Row],[GDP_USD]],Country_GDP[GDP_USD])</f>
        <v>138</v>
      </c>
      <c r="B139" t="s">
        <v>128</v>
      </c>
      <c r="C139">
        <v>17240</v>
      </c>
      <c r="D139" s="1">
        <f>Country_GDP[[#This Row],[GDP_USD]]/SUM(GDP_USD)</f>
        <v>1.3968847396046415E-4</v>
      </c>
      <c r="E139" t="str">
        <f>IF(Country_GDP[[#This Row],[GDP_USD]]&gt;=1000000,"T1",
 IF(Country_GDP[[#This Row],[GDP_USD]]&gt;=500000,"T2",
 IF(Country_GDP[[#This Row],[GDP_USD]]&gt;=100000,"T3",
 "T4")))</f>
        <v>T4</v>
      </c>
      <c r="F139" s="1">
        <f>Country_GDP[[#This Row],[GDP_USD]]/MAX(GDP_USD)</f>
        <v>5.4177559661073486E-4</v>
      </c>
      <c r="G139" s="1">
        <f>Country_GDP[[#This Row],[GDP_USD]]/SUM(GDP_USD)</f>
        <v>1.3968847396046415E-4</v>
      </c>
    </row>
    <row r="140" spans="1:7" x14ac:dyDescent="0.35">
      <c r="A140">
        <f>_xlfn.RANK.EQ(Country_GDP[[#This Row],[GDP_USD]],Country_GDP[GDP_USD])</f>
        <v>139</v>
      </c>
      <c r="B140" t="s">
        <v>129</v>
      </c>
      <c r="C140">
        <v>16952</v>
      </c>
      <c r="D140" s="1">
        <f>Country_GDP[[#This Row],[GDP_USD]]/SUM(GDP_USD)</f>
        <v>1.3735493100799237E-4</v>
      </c>
      <c r="E140" t="str">
        <f>IF(Country_GDP[[#This Row],[GDP_USD]]&gt;=1000000,"T1",
 IF(Country_GDP[[#This Row],[GDP_USD]]&gt;=500000,"T2",
 IF(Country_GDP[[#This Row],[GDP_USD]]&gt;=100000,"T3",
 "T4")))</f>
        <v>T4</v>
      </c>
      <c r="F140" s="1">
        <f>Country_GDP[[#This Row],[GDP_USD]]/MAX(GDP_USD)</f>
        <v>5.3272505300146038E-4</v>
      </c>
      <c r="G140" s="1">
        <f>Country_GDP[[#This Row],[GDP_USD]]/SUM(GDP_USD)</f>
        <v>1.3735493100799237E-4</v>
      </c>
    </row>
    <row r="141" spans="1:7" x14ac:dyDescent="0.35">
      <c r="A141">
        <f>_xlfn.RANK.EQ(Country_GDP[[#This Row],[GDP_USD]],Country_GDP[GDP_USD])</f>
        <v>140</v>
      </c>
      <c r="B141" t="s">
        <v>130</v>
      </c>
      <c r="C141">
        <v>16841</v>
      </c>
      <c r="D141" s="1">
        <f>Country_GDP[[#This Row],[GDP_USD]]/SUM(GDP_USD)</f>
        <v>1.3645554466172719E-4</v>
      </c>
      <c r="E141" t="str">
        <f>IF(Country_GDP[[#This Row],[GDP_USD]]&gt;=1000000,"T1",
 IF(Country_GDP[[#This Row],[GDP_USD]]&gt;=500000,"T2",
 IF(Country_GDP[[#This Row],[GDP_USD]]&gt;=100000,"T3",
 "T4")))</f>
        <v>T4</v>
      </c>
      <c r="F141" s="1">
        <f>Country_GDP[[#This Row],[GDP_USD]]/MAX(GDP_USD)</f>
        <v>5.2923682265205248E-4</v>
      </c>
      <c r="G141" s="1">
        <f>Country_GDP[[#This Row],[GDP_USD]]/SUM(GDP_USD)</f>
        <v>1.3645554466172719E-4</v>
      </c>
    </row>
    <row r="142" spans="1:7" x14ac:dyDescent="0.35">
      <c r="A142">
        <f>_xlfn.RANK.EQ(Country_GDP[[#This Row],[GDP_USD]],Country_GDP[GDP_USD])</f>
        <v>141</v>
      </c>
      <c r="B142" t="s">
        <v>131</v>
      </c>
      <c r="C142">
        <v>16756</v>
      </c>
      <c r="D142" s="1">
        <f>Country_GDP[[#This Row],[GDP_USD]]/SUM(GDP_USD)</f>
        <v>1.3576682538756017E-4</v>
      </c>
      <c r="E142" t="str">
        <f>IF(Country_GDP[[#This Row],[GDP_USD]]&gt;=1000000,"T1",
 IF(Country_GDP[[#This Row],[GDP_USD]]&gt;=500000,"T2",
 IF(Country_GDP[[#This Row],[GDP_USD]]&gt;=100000,"T3",
 "T4")))</f>
        <v>T4</v>
      </c>
      <c r="F142" s="1">
        <f>Country_GDP[[#This Row],[GDP_USD]]/MAX(GDP_USD)</f>
        <v>5.2656565526737085E-4</v>
      </c>
      <c r="G142" s="1">
        <f>Country_GDP[[#This Row],[GDP_USD]]/SUM(GDP_USD)</f>
        <v>1.3576682538756017E-4</v>
      </c>
    </row>
    <row r="143" spans="1:7" x14ac:dyDescent="0.35">
      <c r="A143">
        <f>_xlfn.RANK.EQ(Country_GDP[[#This Row],[GDP_USD]],Country_GDP[GDP_USD])</f>
        <v>142</v>
      </c>
      <c r="B143" t="s">
        <v>132</v>
      </c>
      <c r="C143">
        <v>16457</v>
      </c>
      <c r="D143" s="1">
        <f>Country_GDP[[#This Row],[GDP_USD]]/SUM(GDP_USD)</f>
        <v>1.3334415405843146E-4</v>
      </c>
      <c r="E143" t="str">
        <f>IF(Country_GDP[[#This Row],[GDP_USD]]&gt;=1000000,"T1",
 IF(Country_GDP[[#This Row],[GDP_USD]]&gt;=500000,"T2",
 IF(Country_GDP[[#This Row],[GDP_USD]]&gt;=100000,"T3",
 "T4")))</f>
        <v>T4</v>
      </c>
      <c r="F143" s="1">
        <f>Country_GDP[[#This Row],[GDP_USD]]/MAX(GDP_USD)</f>
        <v>5.1716943117301986E-4</v>
      </c>
      <c r="G143" s="1">
        <f>Country_GDP[[#This Row],[GDP_USD]]/SUM(GDP_USD)</f>
        <v>1.3334415405843146E-4</v>
      </c>
    </row>
    <row r="144" spans="1:7" x14ac:dyDescent="0.35">
      <c r="A144">
        <f>_xlfn.RANK.EQ(Country_GDP[[#This Row],[GDP_USD]],Country_GDP[GDP_USD])</f>
        <v>143</v>
      </c>
      <c r="B144" t="s">
        <v>133</v>
      </c>
      <c r="C144">
        <v>16100</v>
      </c>
      <c r="D144" s="1">
        <f>Country_GDP[[#This Row],[GDP_USD]]/SUM(GDP_USD)</f>
        <v>1.3045153310692998E-4</v>
      </c>
      <c r="E144" t="str">
        <f>IF(Country_GDP[[#This Row],[GDP_USD]]&gt;=1000000,"T1",
 IF(Country_GDP[[#This Row],[GDP_USD]]&gt;=500000,"T2",
 IF(Country_GDP[[#This Row],[GDP_USD]]&gt;=100000,"T3",
 "T4")))</f>
        <v>T4</v>
      </c>
      <c r="F144" s="1">
        <f>Country_GDP[[#This Row],[GDP_USD]]/MAX(GDP_USD)</f>
        <v>5.0595052815735674E-4</v>
      </c>
      <c r="G144" s="1">
        <f>Country_GDP[[#This Row],[GDP_USD]]/SUM(GDP_USD)</f>
        <v>1.3045153310692998E-4</v>
      </c>
    </row>
    <row r="145" spans="1:7" x14ac:dyDescent="0.35">
      <c r="A145">
        <f>_xlfn.RANK.EQ(Country_GDP[[#This Row],[GDP_USD]],Country_GDP[GDP_USD])</f>
        <v>144</v>
      </c>
      <c r="B145" t="s">
        <v>134</v>
      </c>
      <c r="C145">
        <v>15472</v>
      </c>
      <c r="D145" s="1">
        <f>Country_GDP[[#This Row],[GDP_USD]]/SUM(GDP_USD)</f>
        <v>1.253631130577901E-4</v>
      </c>
      <c r="E145" t="str">
        <f>IF(Country_GDP[[#This Row],[GDP_USD]]&gt;=1000000,"T1",
 IF(Country_GDP[[#This Row],[GDP_USD]]&gt;=500000,"T2",
 IF(Country_GDP[[#This Row],[GDP_USD]]&gt;=100000,"T3",
 "T4")))</f>
        <v>T4</v>
      </c>
      <c r="F145" s="1">
        <f>Country_GDP[[#This Row],[GDP_USD]]/MAX(GDP_USD)</f>
        <v>4.8621531500935553E-4</v>
      </c>
      <c r="G145" s="1">
        <f>Country_GDP[[#This Row],[GDP_USD]]/SUM(GDP_USD)</f>
        <v>1.253631130577901E-4</v>
      </c>
    </row>
    <row r="146" spans="1:7" x14ac:dyDescent="0.35">
      <c r="A146">
        <f>_xlfn.RANK.EQ(Country_GDP[[#This Row],[GDP_USD]],Country_GDP[GDP_USD])</f>
        <v>145</v>
      </c>
      <c r="B146" t="s">
        <v>135</v>
      </c>
      <c r="C146">
        <v>14103</v>
      </c>
      <c r="D146" s="1">
        <f>Country_GDP[[#This Row],[GDP_USD]]/SUM(GDP_USD)</f>
        <v>1.1427068145385301E-4</v>
      </c>
      <c r="E146" t="str">
        <f>IF(Country_GDP[[#This Row],[GDP_USD]]&gt;=1000000,"T1",
 IF(Country_GDP[[#This Row],[GDP_USD]]&gt;=500000,"T2",
 IF(Country_GDP[[#This Row],[GDP_USD]]&gt;=100000,"T3",
 "T4")))</f>
        <v>T4</v>
      </c>
      <c r="F146" s="1">
        <f>Country_GDP[[#This Row],[GDP_USD]]/MAX(GDP_USD)</f>
        <v>4.4319380736665854E-4</v>
      </c>
      <c r="G146" s="1">
        <f>Country_GDP[[#This Row],[GDP_USD]]/SUM(GDP_USD)</f>
        <v>1.1427068145385301E-4</v>
      </c>
    </row>
    <row r="147" spans="1:7" x14ac:dyDescent="0.35">
      <c r="A147">
        <f>_xlfn.RANK.EQ(Country_GDP[[#This Row],[GDP_USD]],Country_GDP[GDP_USD])</f>
        <v>146</v>
      </c>
      <c r="B147" t="s">
        <v>136</v>
      </c>
      <c r="C147">
        <v>14097</v>
      </c>
      <c r="D147" s="1">
        <f>Country_GDP[[#This Row],[GDP_USD]]/SUM(GDP_USD)</f>
        <v>1.1422206597567651E-4</v>
      </c>
      <c r="E147" t="str">
        <f>IF(Country_GDP[[#This Row],[GDP_USD]]&gt;=1000000,"T1",
 IF(Country_GDP[[#This Row],[GDP_USD]]&gt;=500000,"T2",
 IF(Country_GDP[[#This Row],[GDP_USD]]&gt;=100000,"T3",
 "T4")))</f>
        <v>T4</v>
      </c>
      <c r="F147" s="1">
        <f>Country_GDP[[#This Row],[GDP_USD]]/MAX(GDP_USD)</f>
        <v>4.4300525437479868E-4</v>
      </c>
      <c r="G147" s="1">
        <f>Country_GDP[[#This Row],[GDP_USD]]/SUM(GDP_USD)</f>
        <v>1.1422206597567651E-4</v>
      </c>
    </row>
    <row r="148" spans="1:7" x14ac:dyDescent="0.35">
      <c r="A148">
        <f>_xlfn.RANK.EQ(Country_GDP[[#This Row],[GDP_USD]],Country_GDP[GDP_USD])</f>
        <v>147</v>
      </c>
      <c r="B148" t="s">
        <v>137</v>
      </c>
      <c r="C148">
        <v>13912</v>
      </c>
      <c r="D148" s="1">
        <f>Country_GDP[[#This Row],[GDP_USD]]/SUM(GDP_USD)</f>
        <v>1.1272308873190123E-4</v>
      </c>
      <c r="E148" t="str">
        <f>IF(Country_GDP[[#This Row],[GDP_USD]]&gt;=1000000,"T1",
 IF(Country_GDP[[#This Row],[GDP_USD]]&gt;=500000,"T2",
 IF(Country_GDP[[#This Row],[GDP_USD]]&gt;=100000,"T3",
 "T4")))</f>
        <v>T4</v>
      </c>
      <c r="F148" s="1">
        <f>Country_GDP[[#This Row],[GDP_USD]]/MAX(GDP_USD)</f>
        <v>4.3719153712578555E-4</v>
      </c>
      <c r="G148" s="1">
        <f>Country_GDP[[#This Row],[GDP_USD]]/SUM(GDP_USD)</f>
        <v>1.1272308873190123E-4</v>
      </c>
    </row>
    <row r="149" spans="1:7" x14ac:dyDescent="0.35">
      <c r="A149">
        <f>_xlfn.RANK.EQ(Country_GDP[[#This Row],[GDP_USD]],Country_GDP[GDP_USD])</f>
        <v>148</v>
      </c>
      <c r="B149" t="s">
        <v>138</v>
      </c>
      <c r="C149">
        <v>12854</v>
      </c>
      <c r="D149" s="1">
        <f>Country_GDP[[#This Row],[GDP_USD]]/SUM(GDP_USD)</f>
        <v>1.0415055941344583E-4</v>
      </c>
      <c r="E149" t="str">
        <f>IF(Country_GDP[[#This Row],[GDP_USD]]&gt;=1000000,"T1",
 IF(Country_GDP[[#This Row],[GDP_USD]]&gt;=500000,"T2",
 IF(Country_GDP[[#This Row],[GDP_USD]]&gt;=100000,"T3",
 "T4")))</f>
        <v>T4</v>
      </c>
      <c r="F149" s="1">
        <f>Country_GDP[[#This Row],[GDP_USD]]/MAX(GDP_USD)</f>
        <v>4.0394335956115925E-4</v>
      </c>
      <c r="G149" s="1">
        <f>Country_GDP[[#This Row],[GDP_USD]]/SUM(GDP_USD)</f>
        <v>1.0415055941344583E-4</v>
      </c>
    </row>
    <row r="150" spans="1:7" x14ac:dyDescent="0.35">
      <c r="A150">
        <f>_xlfn.RANK.EQ(Country_GDP[[#This Row],[GDP_USD]],Country_GDP[GDP_USD])</f>
        <v>149</v>
      </c>
      <c r="B150" t="s">
        <v>139</v>
      </c>
      <c r="C150">
        <v>12176</v>
      </c>
      <c r="D150" s="1">
        <f>Country_GDP[[#This Row],[GDP_USD]]/SUM(GDP_USD)</f>
        <v>9.8657010379501824E-5</v>
      </c>
      <c r="E150" t="str">
        <f>IF(Country_GDP[[#This Row],[GDP_USD]]&gt;=1000000,"T1",
 IF(Country_GDP[[#This Row],[GDP_USD]]&gt;=500000,"T2",
 IF(Country_GDP[[#This Row],[GDP_USD]]&gt;=100000,"T3",
 "T4")))</f>
        <v>T4</v>
      </c>
      <c r="F150" s="1">
        <f>Country_GDP[[#This Row],[GDP_USD]]/MAX(GDP_USD)</f>
        <v>3.826368714809923E-4</v>
      </c>
      <c r="G150" s="1">
        <f>Country_GDP[[#This Row],[GDP_USD]]/SUM(GDP_USD)</f>
        <v>9.8657010379501824E-5</v>
      </c>
    </row>
    <row r="151" spans="1:7" x14ac:dyDescent="0.35">
      <c r="A151">
        <f>_xlfn.RANK.EQ(Country_GDP[[#This Row],[GDP_USD]],Country_GDP[GDP_USD])</f>
        <v>150</v>
      </c>
      <c r="B151" t="s">
        <v>140</v>
      </c>
      <c r="C151">
        <v>10229</v>
      </c>
      <c r="D151" s="1">
        <f>Country_GDP[[#This Row],[GDP_USD]]/SUM(GDP_USD)</f>
        <v>8.2881287711228981E-5</v>
      </c>
      <c r="E151" t="str">
        <f>IF(Country_GDP[[#This Row],[GDP_USD]]&gt;=1000000,"T1",
 IF(Country_GDP[[#This Row],[GDP_USD]]&gt;=500000,"T2",
 IF(Country_GDP[[#This Row],[GDP_USD]]&gt;=100000,"T3",
 "T4")))</f>
        <v>T4</v>
      </c>
      <c r="F151" s="1">
        <f>Country_GDP[[#This Row],[GDP_USD]]/MAX(GDP_USD)</f>
        <v>3.214514256224598E-4</v>
      </c>
      <c r="G151" s="1">
        <f>Country_GDP[[#This Row],[GDP_USD]]/SUM(GDP_USD)</f>
        <v>8.2881287711228981E-5</v>
      </c>
    </row>
    <row r="152" spans="1:7" x14ac:dyDescent="0.35">
      <c r="A152">
        <f>_xlfn.RANK.EQ(Country_GDP[[#This Row],[GDP_USD]],Country_GDP[GDP_USD])</f>
        <v>151</v>
      </c>
      <c r="B152" t="s">
        <v>141</v>
      </c>
      <c r="C152">
        <v>10116</v>
      </c>
      <c r="D152" s="1">
        <f>Country_GDP[[#This Row],[GDP_USD]]/SUM(GDP_USD)</f>
        <v>8.1965696205571646E-5</v>
      </c>
      <c r="E152" t="str">
        <f>IF(Country_GDP[[#This Row],[GDP_USD]]&gt;=1000000,"T1",
 IF(Country_GDP[[#This Row],[GDP_USD]]&gt;=500000,"T2",
 IF(Country_GDP[[#This Row],[GDP_USD]]&gt;=100000,"T3",
 "T4")))</f>
        <v>T4</v>
      </c>
      <c r="F152" s="1">
        <f>Country_GDP[[#This Row],[GDP_USD]]/MAX(GDP_USD)</f>
        <v>3.1790034427576526E-4</v>
      </c>
      <c r="G152" s="1">
        <f>Country_GDP[[#This Row],[GDP_USD]]/SUM(GDP_USD)</f>
        <v>8.1965696205571646E-5</v>
      </c>
    </row>
    <row r="153" spans="1:7" x14ac:dyDescent="0.35">
      <c r="A153">
        <f>_xlfn.RANK.EQ(Country_GDP[[#This Row],[GDP_USD]],Country_GDP[GDP_USD])</f>
        <v>152</v>
      </c>
      <c r="B153" t="s">
        <v>142</v>
      </c>
      <c r="C153">
        <v>9302</v>
      </c>
      <c r="D153" s="1">
        <f>Country_GDP[[#This Row],[GDP_USD]]/SUM(GDP_USD)</f>
        <v>7.5370196332960406E-5</v>
      </c>
      <c r="E153" t="str">
        <f>IF(Country_GDP[[#This Row],[GDP_USD]]&gt;=1000000,"T1",
 IF(Country_GDP[[#This Row],[GDP_USD]]&gt;=500000,"T2",
 IF(Country_GDP[[#This Row],[GDP_USD]]&gt;=100000,"T3",
 "T4")))</f>
        <v>T4</v>
      </c>
      <c r="F153" s="1">
        <f>Country_GDP[[#This Row],[GDP_USD]]/MAX(GDP_USD)</f>
        <v>2.9231998838010761E-4</v>
      </c>
      <c r="G153" s="1">
        <f>Country_GDP[[#This Row],[GDP_USD]]/SUM(GDP_USD)</f>
        <v>7.5370196332960406E-5</v>
      </c>
    </row>
    <row r="154" spans="1:7" x14ac:dyDescent="0.35">
      <c r="A154">
        <f>_xlfn.RANK.EQ(Country_GDP[[#This Row],[GDP_USD]],Country_GDP[GDP_USD])</f>
        <v>153</v>
      </c>
      <c r="B154" t="s">
        <v>143</v>
      </c>
      <c r="C154">
        <v>9212</v>
      </c>
      <c r="D154" s="1">
        <f>Country_GDP[[#This Row],[GDP_USD]]/SUM(GDP_USD)</f>
        <v>7.464096416031298E-5</v>
      </c>
      <c r="E154" t="str">
        <f>IF(Country_GDP[[#This Row],[GDP_USD]]&gt;=1000000,"T1",
 IF(Country_GDP[[#This Row],[GDP_USD]]&gt;=500000,"T2",
 IF(Country_GDP[[#This Row],[GDP_USD]]&gt;=100000,"T3",
 "T4")))</f>
        <v>T4</v>
      </c>
      <c r="F154" s="1">
        <f>Country_GDP[[#This Row],[GDP_USD]]/MAX(GDP_USD)</f>
        <v>2.8949169350220934E-4</v>
      </c>
      <c r="G154" s="1">
        <f>Country_GDP[[#This Row],[GDP_USD]]/SUM(GDP_USD)</f>
        <v>7.464096416031298E-5</v>
      </c>
    </row>
    <row r="155" spans="1:7" x14ac:dyDescent="0.35">
      <c r="A155">
        <f>_xlfn.RANK.EQ(Country_GDP[[#This Row],[GDP_USD]],Country_GDP[GDP_USD])</f>
        <v>154</v>
      </c>
      <c r="B155" t="s">
        <v>144</v>
      </c>
      <c r="C155">
        <v>8221</v>
      </c>
      <c r="D155" s="1">
        <f>Country_GDP[[#This Row],[GDP_USD]]/SUM(GDP_USD)</f>
        <v>6.6611307681495113E-5</v>
      </c>
      <c r="E155" t="str">
        <f>IF(Country_GDP[[#This Row],[GDP_USD]]&gt;=1000000,"T1",
 IF(Country_GDP[[#This Row],[GDP_USD]]&gt;=500000,"T2",
 IF(Country_GDP[[#This Row],[GDP_USD]]&gt;=100000,"T3",
 "T4")))</f>
        <v>T4</v>
      </c>
      <c r="F155" s="1">
        <f>Country_GDP[[#This Row],[GDP_USD]]/MAX(GDP_USD)</f>
        <v>2.583490243466851E-4</v>
      </c>
      <c r="G155" s="1">
        <f>Country_GDP[[#This Row],[GDP_USD]]/SUM(GDP_USD)</f>
        <v>6.6611307681495113E-5</v>
      </c>
    </row>
    <row r="156" spans="1:7" x14ac:dyDescent="0.35">
      <c r="A156">
        <f>_xlfn.RANK.EQ(Country_GDP[[#This Row],[GDP_USD]],Country_GDP[GDP_USD])</f>
        <v>155</v>
      </c>
      <c r="B156" t="s">
        <v>145</v>
      </c>
      <c r="C156">
        <v>7944</v>
      </c>
      <c r="D156" s="1">
        <f>Country_GDP[[#This Row],[GDP_USD]]/SUM(GDP_USD)</f>
        <v>6.4366893105680231E-5</v>
      </c>
      <c r="E156" t="str">
        <f>IF(Country_GDP[[#This Row],[GDP_USD]]&gt;=1000000,"T1",
 IF(Country_GDP[[#This Row],[GDP_USD]]&gt;=500000,"T2",
 IF(Country_GDP[[#This Row],[GDP_USD]]&gt;=100000,"T3",
 "T4")))</f>
        <v>T4</v>
      </c>
      <c r="F156" s="1">
        <f>Country_GDP[[#This Row],[GDP_USD]]/MAX(GDP_USD)</f>
        <v>2.4964416122248711E-4</v>
      </c>
      <c r="G156" s="1">
        <f>Country_GDP[[#This Row],[GDP_USD]]/SUM(GDP_USD)</f>
        <v>6.4366893105680231E-5</v>
      </c>
    </row>
    <row r="157" spans="1:7" x14ac:dyDescent="0.35">
      <c r="A157">
        <f>_xlfn.RANK.EQ(Country_GDP[[#This Row],[GDP_USD]],Country_GDP[GDP_USD])</f>
        <v>156</v>
      </c>
      <c r="B157" t="s">
        <v>146</v>
      </c>
      <c r="C157">
        <v>6696</v>
      </c>
      <c r="D157" s="1">
        <f>Country_GDP[[#This Row],[GDP_USD]]/SUM(GDP_USD)</f>
        <v>5.4254873644969139E-5</v>
      </c>
      <c r="E157" t="str">
        <f>IF(Country_GDP[[#This Row],[GDP_USD]]&gt;=1000000,"T1",
 IF(Country_GDP[[#This Row],[GDP_USD]]&gt;=500000,"T2",
 IF(Country_GDP[[#This Row],[GDP_USD]]&gt;=100000,"T3",
 "T4")))</f>
        <v>T4</v>
      </c>
      <c r="F157" s="1">
        <f>Country_GDP[[#This Row],[GDP_USD]]/MAX(GDP_USD)</f>
        <v>2.1042513891563112E-4</v>
      </c>
      <c r="G157" s="1">
        <f>Country_GDP[[#This Row],[GDP_USD]]/SUM(GDP_USD)</f>
        <v>5.4254873644969139E-5</v>
      </c>
    </row>
    <row r="158" spans="1:7" x14ac:dyDescent="0.35">
      <c r="A158">
        <f>_xlfn.RANK.EQ(Country_GDP[[#This Row],[GDP_USD]],Country_GDP[GDP_USD])</f>
        <v>157</v>
      </c>
      <c r="B158" t="s">
        <v>147</v>
      </c>
      <c r="C158">
        <v>6033</v>
      </c>
      <c r="D158" s="1">
        <f>Country_GDP[[#This Row],[GDP_USD]]/SUM(GDP_USD)</f>
        <v>4.8882863306466364E-5</v>
      </c>
      <c r="E158" t="str">
        <f>IF(Country_GDP[[#This Row],[GDP_USD]]&gt;=1000000,"T1",
 IF(Country_GDP[[#This Row],[GDP_USD]]&gt;=500000,"T2",
 IF(Country_GDP[[#This Row],[GDP_USD]]&gt;=100000,"T3",
 "T4")))</f>
        <v>T4</v>
      </c>
      <c r="F158" s="1">
        <f>Country_GDP[[#This Row],[GDP_USD]]/MAX(GDP_USD)</f>
        <v>1.8959003331511388E-4</v>
      </c>
      <c r="G158" s="1">
        <f>Country_GDP[[#This Row],[GDP_USD]]/SUM(GDP_USD)</f>
        <v>4.8882863306466364E-5</v>
      </c>
    </row>
    <row r="159" spans="1:7" x14ac:dyDescent="0.35">
      <c r="A159">
        <f>_xlfn.RANK.EQ(Country_GDP[[#This Row],[GDP_USD]],Country_GDP[GDP_USD])</f>
        <v>158</v>
      </c>
      <c r="B159" t="s">
        <v>148</v>
      </c>
      <c r="C159">
        <v>5594</v>
      </c>
      <c r="D159" s="1">
        <f>Country_GDP[[#This Row],[GDP_USD]]/SUM(GDP_USD)</f>
        <v>4.5325830819886105E-5</v>
      </c>
      <c r="E159" t="str">
        <f>IF(Country_GDP[[#This Row],[GDP_USD]]&gt;=1000000,"T1",
 IF(Country_GDP[[#This Row],[GDP_USD]]&gt;=500000,"T2",
 IF(Country_GDP[[#This Row],[GDP_USD]]&gt;=100000,"T3",
 "T4")))</f>
        <v>T4</v>
      </c>
      <c r="F159" s="1">
        <f>Country_GDP[[#This Row],[GDP_USD]]/MAX(GDP_USD)</f>
        <v>1.7579423941069901E-4</v>
      </c>
      <c r="G159" s="1">
        <f>Country_GDP[[#This Row],[GDP_USD]]/SUM(GDP_USD)</f>
        <v>4.5325830819886105E-5</v>
      </c>
    </row>
    <row r="160" spans="1:7" x14ac:dyDescent="0.35">
      <c r="A160">
        <f>_xlfn.RANK.EQ(Country_GDP[[#This Row],[GDP_USD]],Country_GDP[GDP_USD])</f>
        <v>159</v>
      </c>
      <c r="B160" t="s">
        <v>149</v>
      </c>
      <c r="C160">
        <v>5495</v>
      </c>
      <c r="D160" s="1">
        <f>Country_GDP[[#This Row],[GDP_USD]]/SUM(GDP_USD)</f>
        <v>4.4523675429973928E-5</v>
      </c>
      <c r="E160" t="str">
        <f>IF(Country_GDP[[#This Row],[GDP_USD]]&gt;=1000000,"T1",
 IF(Country_GDP[[#This Row],[GDP_USD]]&gt;=500000,"T2",
 IF(Country_GDP[[#This Row],[GDP_USD]]&gt;=100000,"T3",
 "T4")))</f>
        <v>T4</v>
      </c>
      <c r="F160" s="1">
        <f>Country_GDP[[#This Row],[GDP_USD]]/MAX(GDP_USD)</f>
        <v>1.726831150450109E-4</v>
      </c>
      <c r="G160" s="1">
        <f>Country_GDP[[#This Row],[GDP_USD]]/SUM(GDP_USD)</f>
        <v>4.4523675429973928E-5</v>
      </c>
    </row>
    <row r="161" spans="1:7" x14ac:dyDescent="0.35">
      <c r="A161">
        <f>_xlfn.RANK.EQ(Country_GDP[[#This Row],[GDP_USD]],Country_GDP[GDP_USD])</f>
        <v>160</v>
      </c>
      <c r="B161" t="s">
        <v>150</v>
      </c>
      <c r="C161">
        <v>5003</v>
      </c>
      <c r="D161" s="1">
        <f>Country_GDP[[#This Row],[GDP_USD]]/SUM(GDP_USD)</f>
        <v>4.0537206219501282E-5</v>
      </c>
      <c r="E161" t="str">
        <f>IF(Country_GDP[[#This Row],[GDP_USD]]&gt;=1000000,"T1",
 IF(Country_GDP[[#This Row],[GDP_USD]]&gt;=500000,"T2",
 IF(Country_GDP[[#This Row],[GDP_USD]]&gt;=100000,"T3",
 "T4")))</f>
        <v>T4</v>
      </c>
      <c r="F161" s="1">
        <f>Country_GDP[[#This Row],[GDP_USD]]/MAX(GDP_USD)</f>
        <v>1.5722176971250037E-4</v>
      </c>
      <c r="G161" s="1">
        <f>Country_GDP[[#This Row],[GDP_USD]]/SUM(GDP_USD)</f>
        <v>4.0537206219501282E-5</v>
      </c>
    </row>
    <row r="162" spans="1:7" x14ac:dyDescent="0.35">
      <c r="A162">
        <f>_xlfn.RANK.EQ(Country_GDP[[#This Row],[GDP_USD]],Country_GDP[GDP_USD])</f>
        <v>161</v>
      </c>
      <c r="B162" t="s">
        <v>151</v>
      </c>
      <c r="C162">
        <v>4870</v>
      </c>
      <c r="D162" s="1">
        <f>Country_GDP[[#This Row],[GDP_USD]]/SUM(GDP_USD)</f>
        <v>3.9459563119922297E-5</v>
      </c>
      <c r="E162" t="str">
        <f>IF(Country_GDP[[#This Row],[GDP_USD]]&gt;=1000000,"T1",
 IF(Country_GDP[[#This Row],[GDP_USD]]&gt;=500000,"T2",
 IF(Country_GDP[[#This Row],[GDP_USD]]&gt;=100000,"T3",
 "T4")))</f>
        <v>T4</v>
      </c>
      <c r="F162" s="1">
        <f>Country_GDP[[#This Row],[GDP_USD]]/MAX(GDP_USD)</f>
        <v>1.530421783929396E-4</v>
      </c>
      <c r="G162" s="1">
        <f>Country_GDP[[#This Row],[GDP_USD]]/SUM(GDP_USD)</f>
        <v>3.9459563119922297E-5</v>
      </c>
    </row>
    <row r="163" spans="1:7" x14ac:dyDescent="0.35">
      <c r="A163">
        <f>_xlfn.RANK.EQ(Country_GDP[[#This Row],[GDP_USD]],Country_GDP[GDP_USD])</f>
        <v>162</v>
      </c>
      <c r="B163" t="s">
        <v>152</v>
      </c>
      <c r="C163">
        <v>4715</v>
      </c>
      <c r="D163" s="1">
        <f>Country_GDP[[#This Row],[GDP_USD]]/SUM(GDP_USD)</f>
        <v>3.8203663267029488E-5</v>
      </c>
      <c r="E163" t="str">
        <f>IF(Country_GDP[[#This Row],[GDP_USD]]&gt;=1000000,"T1",
 IF(Country_GDP[[#This Row],[GDP_USD]]&gt;=500000,"T2",
 IF(Country_GDP[[#This Row],[GDP_USD]]&gt;=100000,"T3",
 "T4")))</f>
        <v>T4</v>
      </c>
      <c r="F163" s="1">
        <f>Country_GDP[[#This Row],[GDP_USD]]/MAX(GDP_USD)</f>
        <v>1.4817122610322591E-4</v>
      </c>
      <c r="G163" s="1">
        <f>Country_GDP[[#This Row],[GDP_USD]]/SUM(GDP_USD)</f>
        <v>3.8203663267029488E-5</v>
      </c>
    </row>
    <row r="164" spans="1:7" x14ac:dyDescent="0.35">
      <c r="A164">
        <f>_xlfn.RANK.EQ(Country_GDP[[#This Row],[GDP_USD]],Country_GDP[GDP_USD])</f>
        <v>163</v>
      </c>
      <c r="B164" t="s">
        <v>153</v>
      </c>
      <c r="C164">
        <v>4471</v>
      </c>
      <c r="D164" s="1">
        <f>Country_GDP[[#This Row],[GDP_USD]]/SUM(GDP_USD)</f>
        <v>3.6226633821185337E-5</v>
      </c>
      <c r="E164" t="str">
        <f>IF(Country_GDP[[#This Row],[GDP_USD]]&gt;=1000000,"T1",
 IF(Country_GDP[[#This Row],[GDP_USD]]&gt;=500000,"T2",
 IF(Country_GDP[[#This Row],[GDP_USD]]&gt;=100000,"T3",
 "T4")))</f>
        <v>T4</v>
      </c>
      <c r="F164" s="1">
        <f>Country_GDP[[#This Row],[GDP_USD]]/MAX(GDP_USD)</f>
        <v>1.4050340443425726E-4</v>
      </c>
      <c r="G164" s="1">
        <f>Country_GDP[[#This Row],[GDP_USD]]/SUM(GDP_USD)</f>
        <v>3.6226633821185337E-5</v>
      </c>
    </row>
    <row r="165" spans="1:7" x14ac:dyDescent="0.35">
      <c r="A165">
        <f>_xlfn.RANK.EQ(Country_GDP[[#This Row],[GDP_USD]],Country_GDP[GDP_USD])</f>
        <v>164</v>
      </c>
      <c r="B165" t="s">
        <v>154</v>
      </c>
      <c r="C165">
        <v>3771</v>
      </c>
      <c r="D165" s="1">
        <f>Country_GDP[[#This Row],[GDP_USD]]/SUM(GDP_USD)</f>
        <v>3.0554828033927509E-5</v>
      </c>
      <c r="E165" t="str">
        <f>IF(Country_GDP[[#This Row],[GDP_USD]]&gt;=1000000,"T1",
 IF(Country_GDP[[#This Row],[GDP_USD]]&gt;=500000,"T2",
 IF(Country_GDP[[#This Row],[GDP_USD]]&gt;=100000,"T3",
 "T4")))</f>
        <v>T4</v>
      </c>
      <c r="F165" s="1">
        <f>Country_GDP[[#This Row],[GDP_USD]]/MAX(GDP_USD)</f>
        <v>1.1850555538393741E-4</v>
      </c>
      <c r="G165" s="1">
        <f>Country_GDP[[#This Row],[GDP_USD]]/SUM(GDP_USD)</f>
        <v>3.0554828033927509E-5</v>
      </c>
    </row>
    <row r="166" spans="1:7" x14ac:dyDescent="0.35">
      <c r="A166">
        <f>_xlfn.RANK.EQ(Country_GDP[[#This Row],[GDP_USD]],Country_GDP[GDP_USD])</f>
        <v>165</v>
      </c>
      <c r="B166" t="s">
        <v>155</v>
      </c>
      <c r="C166">
        <v>3708</v>
      </c>
      <c r="D166" s="1">
        <f>Country_GDP[[#This Row],[GDP_USD]]/SUM(GDP_USD)</f>
        <v>3.0044365513074305E-5</v>
      </c>
      <c r="E166" t="str">
        <f>IF(Country_GDP[[#This Row],[GDP_USD]]&gt;=1000000,"T1",
 IF(Country_GDP[[#This Row],[GDP_USD]]&gt;=500000,"T2",
 IF(Country_GDP[[#This Row],[GDP_USD]]&gt;=100000,"T3",
 "T4")))</f>
        <v>T4</v>
      </c>
      <c r="F166" s="1">
        <f>Country_GDP[[#This Row],[GDP_USD]]/MAX(GDP_USD)</f>
        <v>1.1652574896940863E-4</v>
      </c>
      <c r="G166" s="1">
        <f>Country_GDP[[#This Row],[GDP_USD]]/SUM(GDP_USD)</f>
        <v>3.0044365513074305E-5</v>
      </c>
    </row>
    <row r="167" spans="1:7" x14ac:dyDescent="0.35">
      <c r="A167">
        <f>_xlfn.RANK.EQ(Country_GDP[[#This Row],[GDP_USD]],Country_GDP[GDP_USD])</f>
        <v>166</v>
      </c>
      <c r="B167" t="s">
        <v>156</v>
      </c>
      <c r="C167">
        <v>3442</v>
      </c>
      <c r="D167" s="1">
        <f>Country_GDP[[#This Row],[GDP_USD]]/SUM(GDP_USD)</f>
        <v>2.7889079313916332E-5</v>
      </c>
      <c r="E167" t="str">
        <f>IF(Country_GDP[[#This Row],[GDP_USD]]&gt;=1000000,"T1",
 IF(Country_GDP[[#This Row],[GDP_USD]]&gt;=500000,"T2",
 IF(Country_GDP[[#This Row],[GDP_USD]]&gt;=100000,"T3",
 "T4")))</f>
        <v>T4</v>
      </c>
      <c r="F167" s="1">
        <f>Country_GDP[[#This Row],[GDP_USD]]/MAX(GDP_USD)</f>
        <v>1.0816656633028708E-4</v>
      </c>
      <c r="G167" s="1">
        <f>Country_GDP[[#This Row],[GDP_USD]]/SUM(GDP_USD)</f>
        <v>2.7889079313916332E-5</v>
      </c>
    </row>
    <row r="168" spans="1:7" x14ac:dyDescent="0.35">
      <c r="A168">
        <f>_xlfn.RANK.EQ(Country_GDP[[#This Row],[GDP_USD]],Country_GDP[GDP_USD])</f>
        <v>167</v>
      </c>
      <c r="B168" t="s">
        <v>157</v>
      </c>
      <c r="C168">
        <v>3138</v>
      </c>
      <c r="D168" s="1">
        <f>Country_GDP[[#This Row],[GDP_USD]]/SUM(GDP_USD)</f>
        <v>2.5425895086307219E-5</v>
      </c>
      <c r="E168" t="str">
        <f>IF(Country_GDP[[#This Row],[GDP_USD]]&gt;=1000000,"T1",
 IF(Country_GDP[[#This Row],[GDP_USD]]&gt;=500000,"T2",
 IF(Country_GDP[[#This Row],[GDP_USD]]&gt;=100000,"T3",
 "T4")))</f>
        <v>T4</v>
      </c>
      <c r="F168" s="1">
        <f>Country_GDP[[#This Row],[GDP_USD]]/MAX(GDP_USD)</f>
        <v>9.8613214742719604E-5</v>
      </c>
      <c r="G168" s="1">
        <f>Country_GDP[[#This Row],[GDP_USD]]/SUM(GDP_USD)</f>
        <v>2.5425895086307219E-5</v>
      </c>
    </row>
    <row r="169" spans="1:7" x14ac:dyDescent="0.35">
      <c r="A169">
        <f>_xlfn.RANK.EQ(Country_GDP[[#This Row],[GDP_USD]],Country_GDP[GDP_USD])</f>
        <v>168</v>
      </c>
      <c r="B169" t="s">
        <v>158</v>
      </c>
      <c r="C169">
        <v>2770</v>
      </c>
      <c r="D169" s="1">
        <f>Country_GDP[[#This Row],[GDP_USD]]/SUM(GDP_USD)</f>
        <v>2.244414575814882E-5</v>
      </c>
      <c r="E169" t="str">
        <f>IF(Country_GDP[[#This Row],[GDP_USD]]&gt;=1000000,"T1",
 IF(Country_GDP[[#This Row],[GDP_USD]]&gt;=500000,"T2",
 IF(Country_GDP[[#This Row],[GDP_USD]]&gt;=100000,"T3",
 "T4")))</f>
        <v>T4</v>
      </c>
      <c r="F169" s="1">
        <f>Country_GDP[[#This Row],[GDP_USD]]/MAX(GDP_USD)</f>
        <v>8.7048631241980017E-5</v>
      </c>
      <c r="G169" s="1">
        <f>Country_GDP[[#This Row],[GDP_USD]]/SUM(GDP_USD)</f>
        <v>2.244414575814882E-5</v>
      </c>
    </row>
    <row r="170" spans="1:7" x14ac:dyDescent="0.35">
      <c r="A170">
        <f>_xlfn.RANK.EQ(Country_GDP[[#This Row],[GDP_USD]],Country_GDP[GDP_USD])</f>
        <v>169</v>
      </c>
      <c r="B170" t="s">
        <v>159</v>
      </c>
      <c r="C170">
        <v>2764</v>
      </c>
      <c r="D170" s="1">
        <f>Country_GDP[[#This Row],[GDP_USD]]/SUM(GDP_USD)</f>
        <v>2.2395530279972326E-5</v>
      </c>
      <c r="E170" t="str">
        <f>IF(Country_GDP[[#This Row],[GDP_USD]]&gt;=1000000,"T1",
 IF(Country_GDP[[#This Row],[GDP_USD]]&gt;=500000,"T2",
 IF(Country_GDP[[#This Row],[GDP_USD]]&gt;=100000,"T3",
 "T4")))</f>
        <v>T4</v>
      </c>
      <c r="F170" s="1">
        <f>Country_GDP[[#This Row],[GDP_USD]]/MAX(GDP_USD)</f>
        <v>8.6860078250120134E-5</v>
      </c>
      <c r="G170" s="1">
        <f>Country_GDP[[#This Row],[GDP_USD]]/SUM(GDP_USD)</f>
        <v>2.2395530279972326E-5</v>
      </c>
    </row>
    <row r="171" spans="1:7" x14ac:dyDescent="0.35">
      <c r="A171">
        <f>_xlfn.RANK.EQ(Country_GDP[[#This Row],[GDP_USD]],Country_GDP[GDP_USD])</f>
        <v>170</v>
      </c>
      <c r="B171" t="s">
        <v>160</v>
      </c>
      <c r="C171">
        <v>2672</v>
      </c>
      <c r="D171" s="1">
        <f>Country_GDP[[#This Row],[GDP_USD]]/SUM(GDP_USD)</f>
        <v>2.1650092947932724E-5</v>
      </c>
      <c r="E171" t="str">
        <f>IF(Country_GDP[[#This Row],[GDP_USD]]&gt;=1000000,"T1",
 IF(Country_GDP[[#This Row],[GDP_USD]]&gt;=500000,"T2",
 IF(Country_GDP[[#This Row],[GDP_USD]]&gt;=100000,"T3",
 "T4")))</f>
        <v>T4</v>
      </c>
      <c r="F171" s="1">
        <f>Country_GDP[[#This Row],[GDP_USD]]/MAX(GDP_USD)</f>
        <v>8.396893237493524E-5</v>
      </c>
      <c r="G171" s="1">
        <f>Country_GDP[[#This Row],[GDP_USD]]/SUM(GDP_USD)</f>
        <v>2.1650092947932724E-5</v>
      </c>
    </row>
    <row r="172" spans="1:7" x14ac:dyDescent="0.35">
      <c r="A172">
        <f>_xlfn.RANK.EQ(Country_GDP[[#This Row],[GDP_USD]],Country_GDP[GDP_USD])</f>
        <v>171</v>
      </c>
      <c r="B172" t="s">
        <v>161</v>
      </c>
      <c r="C172">
        <v>2474</v>
      </c>
      <c r="D172" s="1">
        <f>Country_GDP[[#This Row],[GDP_USD]]/SUM(GDP_USD)</f>
        <v>2.004578216810837E-5</v>
      </c>
      <c r="E172" t="str">
        <f>IF(Country_GDP[[#This Row],[GDP_USD]]&gt;=1000000,"T1",
 IF(Country_GDP[[#This Row],[GDP_USD]]&gt;=500000,"T2",
 IF(Country_GDP[[#This Row],[GDP_USD]]&gt;=100000,"T3",
 "T4")))</f>
        <v>T4</v>
      </c>
      <c r="F172" s="1">
        <f>Country_GDP[[#This Row],[GDP_USD]]/MAX(GDP_USD)</f>
        <v>7.7746683643559051E-5</v>
      </c>
      <c r="G172" s="1">
        <f>Country_GDP[[#This Row],[GDP_USD]]/SUM(GDP_USD)</f>
        <v>2.004578216810837E-5</v>
      </c>
    </row>
    <row r="173" spans="1:7" x14ac:dyDescent="0.35">
      <c r="A173">
        <f>_xlfn.RANK.EQ(Country_GDP[[#This Row],[GDP_USD]],Country_GDP[GDP_USD])</f>
        <v>172</v>
      </c>
      <c r="B173" t="s">
        <v>162</v>
      </c>
      <c r="C173">
        <v>2456</v>
      </c>
      <c r="D173" s="1">
        <f>Country_GDP[[#This Row],[GDP_USD]]/SUM(GDP_USD)</f>
        <v>1.9899935733578882E-5</v>
      </c>
      <c r="E173" t="str">
        <f>IF(Country_GDP[[#This Row],[GDP_USD]]&gt;=1000000,"T1",
 IF(Country_GDP[[#This Row],[GDP_USD]]&gt;=500000,"T2",
 IF(Country_GDP[[#This Row],[GDP_USD]]&gt;=100000,"T3",
 "T4")))</f>
        <v>T4</v>
      </c>
      <c r="F173" s="1">
        <f>Country_GDP[[#This Row],[GDP_USD]]/MAX(GDP_USD)</f>
        <v>7.7181024667979389E-5</v>
      </c>
      <c r="G173" s="1">
        <f>Country_GDP[[#This Row],[GDP_USD]]/SUM(GDP_USD)</f>
        <v>1.9899935733578882E-5</v>
      </c>
    </row>
    <row r="174" spans="1:7" x14ac:dyDescent="0.35">
      <c r="A174">
        <f>_xlfn.RANK.EQ(Country_GDP[[#This Row],[GDP_USD]],Country_GDP[GDP_USD])</f>
        <v>173</v>
      </c>
      <c r="B174" t="s">
        <v>163</v>
      </c>
      <c r="C174">
        <v>2393</v>
      </c>
      <c r="D174" s="1">
        <f>Country_GDP[[#This Row],[GDP_USD]]/SUM(GDP_USD)</f>
        <v>1.9389473212725678E-5</v>
      </c>
      <c r="E174" t="str">
        <f>IF(Country_GDP[[#This Row],[GDP_USD]]&gt;=1000000,"T1",
 IF(Country_GDP[[#This Row],[GDP_USD]]&gt;=500000,"T2",
 IF(Country_GDP[[#This Row],[GDP_USD]]&gt;=100000,"T3",
 "T4")))</f>
        <v>T4</v>
      </c>
      <c r="F174" s="1">
        <f>Country_GDP[[#This Row],[GDP_USD]]/MAX(GDP_USD)</f>
        <v>7.5201218253450605E-5</v>
      </c>
      <c r="G174" s="1">
        <f>Country_GDP[[#This Row],[GDP_USD]]/SUM(GDP_USD)</f>
        <v>1.9389473212725678E-5</v>
      </c>
    </row>
    <row r="175" spans="1:7" x14ac:dyDescent="0.35">
      <c r="A175">
        <f>_xlfn.RANK.EQ(Country_GDP[[#This Row],[GDP_USD]],Country_GDP[GDP_USD])</f>
        <v>174</v>
      </c>
      <c r="B175" t="s">
        <v>164</v>
      </c>
      <c r="C175">
        <v>2249</v>
      </c>
      <c r="D175" s="1">
        <f>Country_GDP[[#This Row],[GDP_USD]]/SUM(GDP_USD)</f>
        <v>1.8222701736489784E-5</v>
      </c>
      <c r="E175" t="str">
        <f>IF(Country_GDP[[#This Row],[GDP_USD]]&gt;=1000000,"T1",
 IF(Country_GDP[[#This Row],[GDP_USD]]&gt;=500000,"T2",
 IF(Country_GDP[[#This Row],[GDP_USD]]&gt;=100000,"T3",
 "T4")))</f>
        <v>T4</v>
      </c>
      <c r="F175" s="1">
        <f>Country_GDP[[#This Row],[GDP_USD]]/MAX(GDP_USD)</f>
        <v>7.0675946448813375E-5</v>
      </c>
      <c r="G175" s="1">
        <f>Country_GDP[[#This Row],[GDP_USD]]/SUM(GDP_USD)</f>
        <v>1.8222701736489784E-5</v>
      </c>
    </row>
    <row r="176" spans="1:7" x14ac:dyDescent="0.35">
      <c r="A176">
        <f>_xlfn.RANK.EQ(Country_GDP[[#This Row],[GDP_USD]],Country_GDP[GDP_USD])</f>
        <v>175</v>
      </c>
      <c r="B176" t="s">
        <v>165</v>
      </c>
      <c r="C176">
        <v>2208</v>
      </c>
      <c r="D176" s="1">
        <f>Country_GDP[[#This Row],[GDP_USD]]/SUM(GDP_USD)</f>
        <v>1.7890495968950395E-5</v>
      </c>
      <c r="E176" t="str">
        <f>IF(Country_GDP[[#This Row],[GDP_USD]]&gt;=1000000,"T1",
 IF(Country_GDP[[#This Row],[GDP_USD]]&gt;=500000,"T2",
 IF(Country_GDP[[#This Row],[GDP_USD]]&gt;=100000,"T3",
 "T4")))</f>
        <v>T4</v>
      </c>
      <c r="F176" s="1">
        <f>Country_GDP[[#This Row],[GDP_USD]]/MAX(GDP_USD)</f>
        <v>6.9387501004437499E-5</v>
      </c>
      <c r="G176" s="1">
        <f>Country_GDP[[#This Row],[GDP_USD]]/SUM(GDP_USD)</f>
        <v>1.7890495968950395E-5</v>
      </c>
    </row>
    <row r="177" spans="1:7" x14ac:dyDescent="0.35">
      <c r="A177">
        <f>_xlfn.RANK.EQ(Country_GDP[[#This Row],[GDP_USD]],Country_GDP[GDP_USD])</f>
        <v>176</v>
      </c>
      <c r="B177" t="s">
        <v>166</v>
      </c>
      <c r="C177">
        <v>2051</v>
      </c>
      <c r="D177" s="1">
        <f>Country_GDP[[#This Row],[GDP_USD]]/SUM(GDP_USD)</f>
        <v>1.6618390956665427E-5</v>
      </c>
      <c r="E177" t="str">
        <f>IF(Country_GDP[[#This Row],[GDP_USD]]&gt;=1000000,"T1",
 IF(Country_GDP[[#This Row],[GDP_USD]]&gt;=500000,"T2",
 IF(Country_GDP[[#This Row],[GDP_USD]]&gt;=100000,"T3",
 "T4")))</f>
        <v>T4</v>
      </c>
      <c r="F177" s="1">
        <f>Country_GDP[[#This Row],[GDP_USD]]/MAX(GDP_USD)</f>
        <v>6.4453697717437185E-5</v>
      </c>
      <c r="G177" s="1">
        <f>Country_GDP[[#This Row],[GDP_USD]]/SUM(GDP_USD)</f>
        <v>1.6618390956665427E-5</v>
      </c>
    </row>
    <row r="178" spans="1:7" x14ac:dyDescent="0.35">
      <c r="A178">
        <f>_xlfn.RANK.EQ(Country_GDP[[#This Row],[GDP_USD]],Country_GDP[GDP_USD])</f>
        <v>177</v>
      </c>
      <c r="B178" t="s">
        <v>167</v>
      </c>
      <c r="C178">
        <v>1770</v>
      </c>
      <c r="D178" s="1">
        <f>Country_GDP[[#This Row],[GDP_USD]]/SUM(GDP_USD)</f>
        <v>1.4341566062066214E-5</v>
      </c>
      <c r="E178" t="str">
        <f>IF(Country_GDP[[#This Row],[GDP_USD]]&gt;=1000000,"T1",
 IF(Country_GDP[[#This Row],[GDP_USD]]&gt;=500000,"T2",
 IF(Country_GDP[[#This Row],[GDP_USD]]&gt;=100000,"T3",
 "T4")))</f>
        <v>T4</v>
      </c>
      <c r="F178" s="1">
        <f>Country_GDP[[#This Row],[GDP_USD]]/MAX(GDP_USD)</f>
        <v>5.5623132598665933E-5</v>
      </c>
      <c r="G178" s="1">
        <f>Country_GDP[[#This Row],[GDP_USD]]/SUM(GDP_USD)</f>
        <v>1.4341566062066214E-5</v>
      </c>
    </row>
    <row r="179" spans="1:7" x14ac:dyDescent="0.35">
      <c r="A179">
        <f>_xlfn.RANK.EQ(Country_GDP[[#This Row],[GDP_USD]],Country_GDP[GDP_USD])</f>
        <v>178</v>
      </c>
      <c r="B179" t="s">
        <v>168</v>
      </c>
      <c r="C179">
        <v>1524</v>
      </c>
      <c r="D179" s="1">
        <f>Country_GDP[[#This Row],[GDP_USD]]/SUM(GDP_USD)</f>
        <v>1.2348331456829893E-5</v>
      </c>
      <c r="E179" t="str">
        <f>IF(Country_GDP[[#This Row],[GDP_USD]]&gt;=1000000,"T1",
 IF(Country_GDP[[#This Row],[GDP_USD]]&gt;=500000,"T2",
 IF(Country_GDP[[#This Row],[GDP_USD]]&gt;=100000,"T3",
 "T4")))</f>
        <v>T4</v>
      </c>
      <c r="F179" s="1">
        <f>Country_GDP[[#This Row],[GDP_USD]]/MAX(GDP_USD)</f>
        <v>4.7892459932410667E-5</v>
      </c>
      <c r="G179" s="1">
        <f>Country_GDP[[#This Row],[GDP_USD]]/SUM(GDP_USD)</f>
        <v>1.2348331456829893E-5</v>
      </c>
    </row>
    <row r="180" spans="1:7" x14ac:dyDescent="0.35">
      <c r="A180">
        <f>_xlfn.RANK.EQ(Country_GDP[[#This Row],[GDP_USD]],Country_GDP[GDP_USD])</f>
        <v>179</v>
      </c>
      <c r="B180" t="s">
        <v>169</v>
      </c>
      <c r="C180">
        <v>1333</v>
      </c>
      <c r="D180" s="1">
        <f>Country_GDP[[#This Row],[GDP_USD]]/SUM(GDP_USD)</f>
        <v>1.0800738734878115E-5</v>
      </c>
      <c r="E180" t="str">
        <f>IF(Country_GDP[[#This Row],[GDP_USD]]&gt;=1000000,"T1",
 IF(Country_GDP[[#This Row],[GDP_USD]]&gt;=500000,"T2",
 IF(Country_GDP[[#This Row],[GDP_USD]]&gt;=100000,"T3",
 "T4")))</f>
        <v>T4</v>
      </c>
      <c r="F180" s="1">
        <f>Country_GDP[[#This Row],[GDP_USD]]/MAX(GDP_USD)</f>
        <v>4.1890189691537679E-5</v>
      </c>
      <c r="G180" s="1">
        <f>Country_GDP[[#This Row],[GDP_USD]]/SUM(GDP_USD)</f>
        <v>1.0800738734878115E-5</v>
      </c>
    </row>
    <row r="181" spans="1:7" x14ac:dyDescent="0.35">
      <c r="A181">
        <f>_xlfn.RANK.EQ(Country_GDP[[#This Row],[GDP_USD]],Country_GDP[GDP_USD])</f>
        <v>180</v>
      </c>
      <c r="B181" t="s">
        <v>170</v>
      </c>
      <c r="C181">
        <v>1299</v>
      </c>
      <c r="D181" s="1">
        <f>Country_GDP[[#This Row],[GDP_USD]]/SUM(GDP_USD)</f>
        <v>1.0525251025211307E-5</v>
      </c>
      <c r="E181" t="str">
        <f>IF(Country_GDP[[#This Row],[GDP_USD]]&gt;=1000000,"T1",
 IF(Country_GDP[[#This Row],[GDP_USD]]&gt;=500000,"T2",
 IF(Country_GDP[[#This Row],[GDP_USD]]&gt;=100000,"T3",
 "T4")))</f>
        <v>T4</v>
      </c>
      <c r="F181" s="1">
        <f>Country_GDP[[#This Row],[GDP_USD]]/MAX(GDP_USD)</f>
        <v>4.0821722737664998E-5</v>
      </c>
      <c r="G181" s="1">
        <f>Country_GDP[[#This Row],[GDP_USD]]/SUM(GDP_USD)</f>
        <v>1.0525251025211307E-5</v>
      </c>
    </row>
    <row r="182" spans="1:7" x14ac:dyDescent="0.35">
      <c r="A182">
        <f>_xlfn.RANK.EQ(Country_GDP[[#This Row],[GDP_USD]],Country_GDP[GDP_USD])</f>
        <v>181</v>
      </c>
      <c r="B182" t="s">
        <v>171</v>
      </c>
      <c r="C182">
        <v>1190</v>
      </c>
      <c r="D182" s="1">
        <f>Country_GDP[[#This Row],[GDP_USD]]/SUM(GDP_USD)</f>
        <v>9.642069838338302E-6</v>
      </c>
      <c r="E182" t="str">
        <f>IF(Country_GDP[[#This Row],[GDP_USD]]&gt;=1000000,"T1",
 IF(Country_GDP[[#This Row],[GDP_USD]]&gt;=500000,"T2",
 IF(Country_GDP[[#This Row],[GDP_USD]]&gt;=100000,"T3",
 "T4")))</f>
        <v>T4</v>
      </c>
      <c r="F182" s="1">
        <f>Country_GDP[[#This Row],[GDP_USD]]/MAX(GDP_USD)</f>
        <v>3.739634338554376E-5</v>
      </c>
      <c r="G182" s="1">
        <f>Country_GDP[[#This Row],[GDP_USD]]/SUM(GDP_USD)</f>
        <v>9.642069838338302E-6</v>
      </c>
    </row>
    <row r="183" spans="1:7" x14ac:dyDescent="0.35">
      <c r="A183">
        <f>_xlfn.RANK.EQ(Country_GDP[[#This Row],[GDP_USD]],Country_GDP[GDP_USD])</f>
        <v>182</v>
      </c>
      <c r="B183" t="s">
        <v>172</v>
      </c>
      <c r="C183">
        <v>1176</v>
      </c>
      <c r="D183" s="1">
        <f>Country_GDP[[#This Row],[GDP_USD]]/SUM(GDP_USD)</f>
        <v>9.5286337225931457E-6</v>
      </c>
      <c r="E183" t="str">
        <f>IF(Country_GDP[[#This Row],[GDP_USD]]&gt;=1000000,"T1",
 IF(Country_GDP[[#This Row],[GDP_USD]]&gt;=500000,"T2",
 IF(Country_GDP[[#This Row],[GDP_USD]]&gt;=100000,"T3",
 "T4")))</f>
        <v>T4</v>
      </c>
      <c r="F183" s="1">
        <f>Country_GDP[[#This Row],[GDP_USD]]/MAX(GDP_USD)</f>
        <v>3.6956386404537365E-5</v>
      </c>
      <c r="G183" s="1">
        <f>Country_GDP[[#This Row],[GDP_USD]]/SUM(GDP_USD)</f>
        <v>9.5286337225931457E-6</v>
      </c>
    </row>
    <row r="184" spans="1:7" x14ac:dyDescent="0.35">
      <c r="A184">
        <f>_xlfn.RANK.EQ(Country_GDP[[#This Row],[GDP_USD]],Country_GDP[GDP_USD])</f>
        <v>183</v>
      </c>
      <c r="B184" t="s">
        <v>173</v>
      </c>
      <c r="C184">
        <v>1125</v>
      </c>
      <c r="D184" s="1">
        <f>Country_GDP[[#This Row],[GDP_USD]]/SUM(GDP_USD)</f>
        <v>9.1154021580929326E-6</v>
      </c>
      <c r="E184" t="str">
        <f>IF(Country_GDP[[#This Row],[GDP_USD]]&gt;=1000000,"T1",
 IF(Country_GDP[[#This Row],[GDP_USD]]&gt;=500000,"T2",
 IF(Country_GDP[[#This Row],[GDP_USD]]&gt;=100000,"T3",
 "T4")))</f>
        <v>T4</v>
      </c>
      <c r="F184" s="1">
        <f>Country_GDP[[#This Row],[GDP_USD]]/MAX(GDP_USD)</f>
        <v>3.5353685973728347E-5</v>
      </c>
      <c r="G184" s="1">
        <f>Country_GDP[[#This Row],[GDP_USD]]/SUM(GDP_USD)</f>
        <v>9.1154021580929326E-6</v>
      </c>
    </row>
    <row r="185" spans="1:7" x14ac:dyDescent="0.35">
      <c r="A185">
        <f>_xlfn.RANK.EQ(Country_GDP[[#This Row],[GDP_USD]],Country_GDP[GDP_USD])</f>
        <v>184</v>
      </c>
      <c r="B185" t="s">
        <v>174</v>
      </c>
      <c r="C185">
        <v>791</v>
      </c>
      <c r="D185" s="1">
        <f>Country_GDP[[#This Row],[GDP_USD]]/SUM(GDP_USD)</f>
        <v>6.4091405396013417E-6</v>
      </c>
      <c r="E185" t="str">
        <f>IF(Country_GDP[[#This Row],[GDP_USD]]&gt;=1000000,"T1",
 IF(Country_GDP[[#This Row],[GDP_USD]]&gt;=500000,"T2",
 IF(Country_GDP[[#This Row],[GDP_USD]]&gt;=100000,"T3",
 "T4")))</f>
        <v>T4</v>
      </c>
      <c r="F185" s="1">
        <f>Country_GDP[[#This Row],[GDP_USD]]/MAX(GDP_USD)</f>
        <v>2.4857569426861443E-5</v>
      </c>
      <c r="G185" s="1">
        <f>Country_GDP[[#This Row],[GDP_USD]]/SUM(GDP_USD)</f>
        <v>6.4091405396013417E-6</v>
      </c>
    </row>
    <row r="186" spans="1:7" x14ac:dyDescent="0.35">
      <c r="A186">
        <f>_xlfn.RANK.EQ(Country_GDP[[#This Row],[GDP_USD]],Country_GDP[GDP_USD])</f>
        <v>185</v>
      </c>
      <c r="B186" t="s">
        <v>175</v>
      </c>
      <c r="C186">
        <v>616</v>
      </c>
      <c r="D186" s="1">
        <f>Country_GDP[[#This Row],[GDP_USD]]/SUM(GDP_USD)</f>
        <v>4.9911890927868856E-6</v>
      </c>
      <c r="E186" t="str">
        <f>IF(Country_GDP[[#This Row],[GDP_USD]]&gt;=1000000,"T1",
 IF(Country_GDP[[#This Row],[GDP_USD]]&gt;=500000,"T2",
 IF(Country_GDP[[#This Row],[GDP_USD]]&gt;=100000,"T3",
 "T4")))</f>
        <v>T4</v>
      </c>
      <c r="F186" s="1">
        <f>Country_GDP[[#This Row],[GDP_USD]]/MAX(GDP_USD)</f>
        <v>1.9358107164281477E-5</v>
      </c>
      <c r="G186" s="1">
        <f>Country_GDP[[#This Row],[GDP_USD]]/SUM(GDP_USD)</f>
        <v>4.9911890927868856E-6</v>
      </c>
    </row>
    <row r="187" spans="1:7" x14ac:dyDescent="0.35">
      <c r="A187">
        <f>_xlfn.RANK.EQ(Country_GDP[[#This Row],[GDP_USD]],Country_GDP[GDP_USD])</f>
        <v>186</v>
      </c>
      <c r="B187" t="s">
        <v>176</v>
      </c>
      <c r="C187">
        <v>519</v>
      </c>
      <c r="D187" s="1">
        <f>Country_GDP[[#This Row],[GDP_USD]]/SUM(GDP_USD)</f>
        <v>4.2052388622668727E-6</v>
      </c>
      <c r="E187" t="str">
        <f>IF(Country_GDP[[#This Row],[GDP_USD]]&gt;=1000000,"T1",
 IF(Country_GDP[[#This Row],[GDP_USD]]&gt;=500000,"T2",
 IF(Country_GDP[[#This Row],[GDP_USD]]&gt;=100000,"T3",
 "T4")))</f>
        <v>T4</v>
      </c>
      <c r="F187" s="1">
        <f>Country_GDP[[#This Row],[GDP_USD]]/MAX(GDP_USD)</f>
        <v>1.6309833795880009E-5</v>
      </c>
      <c r="G187" s="1">
        <f>Country_GDP[[#This Row],[GDP_USD]]/SUM(GDP_USD)</f>
        <v>4.2052388622668727E-6</v>
      </c>
    </row>
    <row r="188" spans="1:7" x14ac:dyDescent="0.35">
      <c r="A188">
        <f>_xlfn.RANK.EQ(Country_GDP[[#This Row],[GDP_USD]],Country_GDP[GDP_USD])</f>
        <v>187</v>
      </c>
      <c r="B188" t="s">
        <v>177</v>
      </c>
      <c r="C188">
        <v>362</v>
      </c>
      <c r="D188" s="1">
        <f>Country_GDP[[#This Row],[GDP_USD]]/SUM(GDP_USD)</f>
        <v>2.9331338499819037E-6</v>
      </c>
      <c r="E188" t="str">
        <f>IF(Country_GDP[[#This Row],[GDP_USD]]&gt;=1000000,"T1",
 IF(Country_GDP[[#This Row],[GDP_USD]]&gt;=500000,"T2",
 IF(Country_GDP[[#This Row],[GDP_USD]]&gt;=100000,"T3",
 "T4")))</f>
        <v>T4</v>
      </c>
      <c r="F188" s="1">
        <f>Country_GDP[[#This Row],[GDP_USD]]/MAX(GDP_USD)</f>
        <v>1.1376030508879698E-5</v>
      </c>
      <c r="G188" s="1">
        <f>Country_GDP[[#This Row],[GDP_USD]]/SUM(GDP_USD)</f>
        <v>2.9331338499819037E-6</v>
      </c>
    </row>
    <row r="189" spans="1:7" x14ac:dyDescent="0.35">
      <c r="A189">
        <f>_xlfn.RANK.EQ(Country_GDP[[#This Row],[GDP_USD]],Country_GDP[GDP_USD])</f>
        <v>188</v>
      </c>
      <c r="B189" t="s">
        <v>178</v>
      </c>
      <c r="C189">
        <v>343</v>
      </c>
      <c r="D189" s="1">
        <f>Country_GDP[[#This Row],[GDP_USD]]/SUM(GDP_USD)</f>
        <v>2.7791848357563341E-6</v>
      </c>
      <c r="E189" t="str">
        <f>IF(Country_GDP[[#This Row],[GDP_USD]]&gt;=1000000,"T1",
 IF(Country_GDP[[#This Row],[GDP_USD]]&gt;=500000,"T2",
 IF(Country_GDP[[#This Row],[GDP_USD]]&gt;=100000,"T3",
 "T4")))</f>
        <v>T4</v>
      </c>
      <c r="F189" s="1">
        <f>Country_GDP[[#This Row],[GDP_USD]]/MAX(GDP_USD)</f>
        <v>1.0778946034656731E-5</v>
      </c>
      <c r="G189" s="1">
        <f>Country_GDP[[#This Row],[GDP_USD]]/SUM(GDP_USD)</f>
        <v>2.7791848357563341E-6</v>
      </c>
    </row>
    <row r="190" spans="1:7" x14ac:dyDescent="0.35">
      <c r="A190">
        <f>_xlfn.RANK.EQ(Country_GDP[[#This Row],[GDP_USD]],Country_GDP[GDP_USD])</f>
        <v>189</v>
      </c>
      <c r="B190" t="s">
        <v>179</v>
      </c>
      <c r="C190">
        <v>332</v>
      </c>
      <c r="D190" s="1">
        <f>Country_GDP[[#This Row],[GDP_USD]]/SUM(GDP_USD)</f>
        <v>2.6900564590994256E-6</v>
      </c>
      <c r="E190" t="str">
        <f>IF(Country_GDP[[#This Row],[GDP_USD]]&gt;=1000000,"T1",
 IF(Country_GDP[[#This Row],[GDP_USD]]&gt;=500000,"T2",
 IF(Country_GDP[[#This Row],[GDP_USD]]&gt;=100000,"T3",
 "T4")))</f>
        <v>T4</v>
      </c>
      <c r="F190" s="1">
        <f>Country_GDP[[#This Row],[GDP_USD]]/MAX(GDP_USD)</f>
        <v>1.0433265549580277E-5</v>
      </c>
      <c r="G190" s="1">
        <f>Country_GDP[[#This Row],[GDP_USD]]/SUM(GDP_USD)</f>
        <v>2.6900564590994256E-6</v>
      </c>
    </row>
    <row r="191" spans="1:7" x14ac:dyDescent="0.35">
      <c r="A191">
        <f>_xlfn.RANK.EQ(Country_GDP[[#This Row],[GDP_USD]],Country_GDP[GDP_USD])</f>
        <v>190</v>
      </c>
      <c r="B191" t="s">
        <v>180</v>
      </c>
      <c r="C191">
        <v>183</v>
      </c>
      <c r="D191" s="1">
        <f>Country_GDP[[#This Row],[GDP_USD]]/SUM(GDP_USD)</f>
        <v>1.482772084383117E-6</v>
      </c>
      <c r="E191" t="str">
        <f>IF(Country_GDP[[#This Row],[GDP_USD]]&gt;=1000000,"T1",
 IF(Country_GDP[[#This Row],[GDP_USD]]&gt;=500000,"T2",
 IF(Country_GDP[[#This Row],[GDP_USD]]&gt;=100000,"T3",
 "T4")))</f>
        <v>T4</v>
      </c>
      <c r="F191" s="1">
        <f>Country_GDP[[#This Row],[GDP_USD]]/MAX(GDP_USD)</f>
        <v>5.7508662517264772E-6</v>
      </c>
      <c r="G191" s="1">
        <f>Country_GDP[[#This Row],[GDP_USD]]/SUM(GDP_USD)</f>
        <v>1.482772084383117E-6</v>
      </c>
    </row>
    <row r="192" spans="1:7" x14ac:dyDescent="0.35">
      <c r="A192">
        <f>_xlfn.RANK.EQ(Country_GDP[[#This Row],[GDP_USD]],Country_GDP[GDP_USD])</f>
        <v>191</v>
      </c>
      <c r="B192" t="s">
        <v>181</v>
      </c>
      <c r="C192">
        <v>61</v>
      </c>
      <c r="D192" s="1">
        <f>Country_GDP[[#This Row],[GDP_USD]]/SUM(GDP_USD)</f>
        <v>4.9425736146103907E-7</v>
      </c>
      <c r="E192" t="str">
        <f>IF(Country_GDP[[#This Row],[GDP_USD]]&gt;=1000000,"T1",
 IF(Country_GDP[[#This Row],[GDP_USD]]&gt;=500000,"T2",
 IF(Country_GDP[[#This Row],[GDP_USD]]&gt;=100000,"T3",
 "T4")))</f>
        <v>T4</v>
      </c>
      <c r="F192" s="1">
        <f>Country_GDP[[#This Row],[GDP_USD]]/MAX(GDP_USD)</f>
        <v>1.9169554172421591E-6</v>
      </c>
      <c r="G192" s="1">
        <f>Country_GDP[[#This Row],[GDP_USD]]/SUM(GDP_USD)</f>
        <v>4.9425736146103907E-7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92B39B-9485-4BAF-8055-E49AC8F432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GDP_Analysis_Dashboard</vt:lpstr>
      <vt:lpstr>Pivot_Tables</vt:lpstr>
      <vt:lpstr>Country Wise GDP</vt:lpstr>
      <vt:lpstr>County_GDP</vt:lpstr>
      <vt:lpstr>GDP_USD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nath</dc:creator>
  <cp:lastModifiedBy>sai nath</cp:lastModifiedBy>
  <dcterms:created xsi:type="dcterms:W3CDTF">2026-03-02T19:44:33Z</dcterms:created>
  <dcterms:modified xsi:type="dcterms:W3CDTF">2026-03-10T18:21:29Z</dcterms:modified>
</cp:coreProperties>
</file>